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30" windowHeight="9164"/>
  </bookViews>
  <sheets>
    <sheet name="资金计划表" sheetId="1" r:id="rId1"/>
    <sheet name="人工及费用测算" sheetId="3" r:id="rId2"/>
    <sheet name="税差辅助测算" sheetId="2" r:id="rId3"/>
    <sheet name="差旅费测算" sheetId="4" r:id="rId4"/>
  </sheets>
  <externalReferences>
    <externalReference r:id="rId6"/>
  </externalReferences>
  <definedNames>
    <definedName name="ASG">#REF!</definedName>
    <definedName name="dt1_14125">[1]序列!$B$1:$M$5</definedName>
    <definedName name="dtm1_14125">OFFSET([1]!ASG,0,0,1,COUNTA(OFFSET([1]!ASG,0,0,1,COLUMNS([1]!ASG))))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G27" authorId="0">
      <text>
        <r>
          <rPr>
            <b/>
            <sz val="9"/>
            <rFont val="宋体"/>
            <charset val="134"/>
          </rPr>
          <t>1.填写交付侧含税报价
2.若交付侧报价为不含税金额，请销售侧换算为含税金额进行填写</t>
        </r>
      </text>
    </comment>
    <comment ref="H27" authorId="0">
      <text>
        <r>
          <rPr>
            <b/>
            <sz val="9"/>
            <rFont val="宋体"/>
            <charset val="134"/>
          </rPr>
          <t>填写交付侧执行部分对应的销售合同税率</t>
        </r>
      </text>
    </comment>
    <comment ref="M27" authorId="0">
      <text>
        <r>
          <rPr>
            <b/>
            <sz val="9"/>
            <rFont val="宋体"/>
            <charset val="134"/>
          </rPr>
          <t>内部分包部分税金及附加由销售侧承担</t>
        </r>
      </text>
    </comment>
    <comment ref="G28" authorId="0">
      <text>
        <r>
          <rPr>
            <sz val="9"/>
            <rFont val="宋体"/>
            <charset val="134"/>
          </rPr>
          <t>1.填写交付侧含税报价
2.若交付侧报价为不含税金额，请销售侧换算为含税金额进行填写</t>
        </r>
      </text>
    </comment>
    <comment ref="H28" authorId="0">
      <text>
        <r>
          <rPr>
            <sz val="9"/>
            <rFont val="宋体"/>
            <charset val="134"/>
          </rPr>
          <t>填写交付侧执行部分对应的销售合同税率</t>
        </r>
      </text>
    </comment>
    <comment ref="M28" authorId="0">
      <text>
        <r>
          <rPr>
            <sz val="9"/>
            <rFont val="宋体"/>
            <charset val="134"/>
          </rPr>
          <t>内部分包部分税金及附加由销售侧承担</t>
        </r>
      </text>
    </comment>
  </commentList>
</comments>
</file>

<file path=xl/comments2.xml><?xml version="1.0" encoding="utf-8"?>
<comments xmlns="http://schemas.openxmlformats.org/spreadsheetml/2006/main">
  <authors>
    <author>Lijt</author>
  </authors>
  <commentList>
    <comment ref="F3" authorId="0">
      <text>
        <r>
          <rPr>
            <sz val="9"/>
            <rFont val="宋体"/>
            <charset val="134"/>
          </rPr>
          <t>如为普通发票，请填写0</t>
        </r>
      </text>
    </comment>
  </commentList>
</comments>
</file>

<file path=xl/sharedStrings.xml><?xml version="1.0" encoding="utf-8"?>
<sst xmlns="http://schemas.openxmlformats.org/spreadsheetml/2006/main" count="500" uniqueCount="159">
  <si>
    <t>项目资金计划</t>
  </si>
  <si>
    <t/>
  </si>
  <si>
    <t>辅助计算列</t>
  </si>
  <si>
    <t>版本号：</t>
  </si>
  <si>
    <t>日期：20251220</t>
  </si>
  <si>
    <t>交叉平台公司：</t>
  </si>
  <si>
    <t>项目名称：</t>
  </si>
  <si>
    <t xml:space="preserve"> 睡个好觉健康管理系统技术服务合同</t>
  </si>
  <si>
    <t>一、销售合同列表</t>
  </si>
  <si>
    <t>序号</t>
  </si>
  <si>
    <t>合同编号</t>
  </si>
  <si>
    <t>客户</t>
  </si>
  <si>
    <t>销售内容</t>
  </si>
  <si>
    <t>合同名称</t>
  </si>
  <si>
    <t>含税合同额（元）</t>
  </si>
  <si>
    <t>税率</t>
  </si>
  <si>
    <t>不含税合同额（元）</t>
  </si>
  <si>
    <t>签订日期</t>
  </si>
  <si>
    <t>备注</t>
  </si>
  <si>
    <t>销项税</t>
  </si>
  <si>
    <t>暂无</t>
  </si>
  <si>
    <t>澄迈睡个好觉品牌管理有限公司</t>
  </si>
  <si>
    <t>睡个好觉健康管理系统</t>
  </si>
  <si>
    <t>技术服务合同</t>
  </si>
  <si>
    <t>服务6%</t>
  </si>
  <si>
    <t>软硬件13%</t>
  </si>
  <si>
    <t>工程安装9%</t>
  </si>
  <si>
    <t>销售合同额总计：</t>
  </si>
  <si>
    <t>二、采购及分包合同列表（包括销售分包、采购分包和交付分包）</t>
  </si>
  <si>
    <t>供应商</t>
  </si>
  <si>
    <t>采购内容</t>
  </si>
  <si>
    <t>数量</t>
  </si>
  <si>
    <t>销售金额（元）</t>
  </si>
  <si>
    <t>进项税</t>
  </si>
  <si>
    <t>陕西百格数据科技有限责任公司</t>
  </si>
  <si>
    <t>若供应商开具普票，请在H列填写0%</t>
  </si>
  <si>
    <t>用于填写内部分包模式;
G列含税合同额列填交付含税报价，且该金额需等于内部分包交付立项金额；
H列税率填写交付侧执行部分对应的销售合同税率。</t>
  </si>
  <si>
    <t>例如：ASG</t>
  </si>
  <si>
    <t>无</t>
  </si>
  <si>
    <t>标书费</t>
  </si>
  <si>
    <t>0元</t>
  </si>
  <si>
    <t>标书购买费用，若不涉及请写0</t>
  </si>
  <si>
    <t>招标代理机构</t>
  </si>
  <si>
    <t>中标服务费</t>
  </si>
  <si>
    <t>中标服务费，若不涉及请写0
招标服务费以中标金额为计算基数，参照国家计委计价格【2002】1980号文标准计取。100万元以下的【服务类招标】，按照1.5%收取招标代理服务费</t>
  </si>
  <si>
    <t>附加税</t>
  </si>
  <si>
    <t>附加税自动计算，请勿修改公式</t>
  </si>
  <si>
    <t>垫资成本</t>
  </si>
  <si>
    <t>垫资成本=垫资金额*垫资月数*0.5%</t>
  </si>
  <si>
    <t>三、其他合同列表（该部分不参与利润核算）</t>
  </si>
  <si>
    <t>合同金额（元）</t>
  </si>
  <si>
    <t>其他合同额总计：</t>
  </si>
  <si>
    <t>四、资金收支预计表（包括销售合同、采购\分包合同、履约保证金等所有资金的收付）</t>
  </si>
  <si>
    <t>合同预计收/付款日期</t>
  </si>
  <si>
    <t>客户/供应商</t>
  </si>
  <si>
    <t>收/付款条件</t>
  </si>
  <si>
    <t>收款金额</t>
  </si>
  <si>
    <t>付款金额</t>
  </si>
  <si>
    <t>结余（元）</t>
  </si>
  <si>
    <t>垫资天数</t>
  </si>
  <si>
    <t>垫资金额</t>
  </si>
  <si>
    <t>备注(实收实付情况）</t>
  </si>
  <si>
    <t>首付款：合同生效，且乙方提交《项目开发计划表》并甲方确认后7个工作日内，甲方支付总金额的50%，即人民币230000.00元（大写：贰拾叁万圆整）</t>
  </si>
  <si>
    <t>中期款：核心开发阶段完成，乙方提供可运行测试版本和《阶段性开发报告》，经甲方书面确认后后7个工作日内，支付总金额的40%，即人民币184000.00元（大写：壹拾捌万肆仟圆整）</t>
  </si>
  <si>
    <t>尾款：系统验收合格并完成合同第4.1条约定的交付成果，双方签署《验收确认书》后10个工作日内，支付总金额的10%，即人民币46000.00元（大写：肆万陆仟圆整）。</t>
  </si>
  <si>
    <r>
      <rPr>
        <b/>
        <sz val="10"/>
        <color rgb="FF000000"/>
        <rFont val="微软雅黑"/>
        <charset val="134"/>
      </rPr>
      <t>五、成本提交表</t>
    </r>
    <r>
      <rPr>
        <b/>
        <sz val="10"/>
        <color rgb="FFFF0000"/>
        <rFont val="微软雅黑"/>
        <charset val="134"/>
      </rPr>
      <t>（该部分为我司自有成本，用于资金分析）</t>
    </r>
  </si>
  <si>
    <r>
      <rPr>
        <sz val="10"/>
        <color rgb="FF000000"/>
        <rFont val="微软雅黑"/>
        <charset val="134"/>
      </rPr>
      <t>开发服务项目人工</t>
    </r>
    <r>
      <rPr>
        <b/>
        <sz val="10"/>
        <color rgb="FFFF0000"/>
        <rFont val="微软雅黑"/>
        <charset val="134"/>
      </rPr>
      <t>（人天）</t>
    </r>
  </si>
  <si>
    <r>
      <rPr>
        <sz val="10"/>
        <color rgb="FF000000"/>
        <rFont val="微软雅黑"/>
        <charset val="134"/>
      </rPr>
      <t>实施服务项目人工</t>
    </r>
    <r>
      <rPr>
        <b/>
        <sz val="10"/>
        <color rgb="FFFF0000"/>
        <rFont val="微软雅黑"/>
        <charset val="134"/>
      </rPr>
      <t>（人天）</t>
    </r>
  </si>
  <si>
    <r>
      <rPr>
        <sz val="10"/>
        <color rgb="FF000000"/>
        <rFont val="微软雅黑"/>
        <charset val="134"/>
      </rPr>
      <t>集成项目人工</t>
    </r>
    <r>
      <rPr>
        <b/>
        <sz val="10"/>
        <color rgb="FFFF0000"/>
        <rFont val="微软雅黑"/>
        <charset val="134"/>
      </rPr>
      <t>（人天）</t>
    </r>
  </si>
  <si>
    <t>其他费用成本
（包含差旅费、招待费、专家咨询费等）</t>
  </si>
  <si>
    <r>
      <rPr>
        <sz val="10"/>
        <color rgb="FF000000"/>
        <rFont val="微软雅黑"/>
        <charset val="134"/>
      </rPr>
      <t>合计投入人工</t>
    </r>
    <r>
      <rPr>
        <b/>
        <sz val="10"/>
        <color rgb="FFFF0000"/>
        <rFont val="微软雅黑"/>
        <charset val="134"/>
      </rPr>
      <t>（人天）</t>
    </r>
  </si>
  <si>
    <t>开发项目人工成本（元）</t>
  </si>
  <si>
    <t>实施服务项目人工成本（元）</t>
  </si>
  <si>
    <t>集成项目人工成本（元）</t>
  </si>
  <si>
    <t>合计项目成本</t>
  </si>
  <si>
    <r>
      <rPr>
        <b/>
        <sz val="10"/>
        <color rgb="FF000000"/>
        <rFont val="微软雅黑"/>
        <charset val="134"/>
      </rPr>
      <t>六、主要项目指数</t>
    </r>
    <r>
      <rPr>
        <b/>
        <sz val="10"/>
        <color rgb="FFFF0000"/>
        <rFont val="微软雅黑"/>
        <charset val="134"/>
      </rPr>
      <t>（利润=销售合同总额（第一项）-分包合同总额（第二项）-我司自身成本（第五项），利润率=利润/销售合同总额）</t>
    </r>
  </si>
  <si>
    <t>利润（不含税）：</t>
  </si>
  <si>
    <t>利润率（不含税）：</t>
  </si>
  <si>
    <t>销售费用：</t>
  </si>
  <si>
    <t>集成毛利：</t>
  </si>
  <si>
    <t>集成毛利率：</t>
  </si>
  <si>
    <t>销售费用/项目毛利：</t>
  </si>
  <si>
    <t>开发服务毛利：</t>
  </si>
  <si>
    <t>开发服务毛利率：</t>
  </si>
  <si>
    <t>最高押款额：</t>
  </si>
  <si>
    <t>销售:</t>
  </si>
  <si>
    <t>事业部经理:</t>
  </si>
  <si>
    <t>商务部:</t>
  </si>
  <si>
    <t>总裁:</t>
  </si>
  <si>
    <t>执行部门:</t>
  </si>
  <si>
    <t>业务线实体:</t>
  </si>
  <si>
    <t>法人实体:</t>
  </si>
  <si>
    <t>一、销售合同列表，填写项目销售合同的具体信息，如项目为混合销售，需分别填写产品销售、自有产品、服务销售金额</t>
  </si>
  <si>
    <t>二、第二项填写项目涉及的采购分包、交付分包、销售分包合同信息</t>
  </si>
  <si>
    <t>三、其他合同列表，如项目涉及的履约保证金等项目资金信息</t>
  </si>
  <si>
    <t>四、第四项填写项目应收、应付时间节点及金额，按照应收、应付时间节点先后顺序</t>
  </si>
  <si>
    <t>五、成本提交表填写涉及我司自身人工、服务、交付成本信息，分为开发服务、实施服务、集成服务3类，按照项目实际类型选择填写</t>
  </si>
  <si>
    <t>六、资金计划表中标注灰色单元格可自动计算，请勿修改公式</t>
  </si>
  <si>
    <t>黄色底色需手动填写</t>
  </si>
  <si>
    <t>第一部分：人天计划及人工成本</t>
  </si>
  <si>
    <t>总人天</t>
  </si>
  <si>
    <t>总人工成本（不含税）</t>
  </si>
  <si>
    <t>人天成本（CostRate）</t>
  </si>
  <si>
    <t>阶段</t>
  </si>
  <si>
    <t>职级取公司内部职级</t>
  </si>
  <si>
    <t>投入工作日天数</t>
  </si>
  <si>
    <t>NO.</t>
  </si>
  <si>
    <t>里程碑阶段</t>
  </si>
  <si>
    <t>岗位</t>
  </si>
  <si>
    <t>姓名</t>
  </si>
  <si>
    <t>人员归属部门</t>
  </si>
  <si>
    <t>base</t>
  </si>
  <si>
    <t>cost Rate(含薪酬及五险一金，人月）</t>
  </si>
  <si>
    <t>投入工作日汇总</t>
  </si>
  <si>
    <t>投入月份个数</t>
  </si>
  <si>
    <t>第二部分：差旅及其他费用</t>
  </si>
  <si>
    <t>总人月</t>
  </si>
  <si>
    <t>差旅成本</t>
  </si>
  <si>
    <t>人均单月差旅</t>
  </si>
  <si>
    <t>费用类型</t>
  </si>
  <si>
    <t>合计</t>
  </si>
  <si>
    <t>项目差旅</t>
  </si>
  <si>
    <t>交通费</t>
  </si>
  <si>
    <t>其他员工报销费</t>
  </si>
  <si>
    <t>销售合同税率</t>
  </si>
  <si>
    <t>项目留点</t>
  </si>
  <si>
    <t>无税差分包/采购金额</t>
  </si>
  <si>
    <t>供应商发票税率</t>
  </si>
  <si>
    <t>扣除税差后分包/采购金额</t>
  </si>
  <si>
    <t>举例</t>
  </si>
  <si>
    <t>2025年</t>
  </si>
  <si>
    <t>2026年</t>
  </si>
  <si>
    <t>2027年</t>
  </si>
  <si>
    <t>差旅标准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</si>
  <si>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</si>
  <si>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</si>
  <si>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</si>
  <si>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</si>
  <si>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</si>
  <si>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</si>
  <si>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</si>
  <si>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</si>
  <si>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</si>
  <si>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</si>
  <si>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</si>
  <si>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</si>
  <si>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No</t>
  </si>
  <si>
    <t>Base</t>
  </si>
  <si>
    <t>总计</t>
  </si>
  <si>
    <t>往返路费</t>
  </si>
  <si>
    <t>每日房费</t>
  </si>
  <si>
    <t>每日出差补助</t>
  </si>
  <si>
    <t>2025年合计</t>
  </si>
  <si>
    <t>往返次数</t>
  </si>
  <si>
    <t>住宿天数</t>
  </si>
  <si>
    <t>差旅总额</t>
  </si>
  <si>
    <t>其他</t>
  </si>
  <si>
    <t>2026年合计</t>
  </si>
  <si>
    <t>2027年合计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</si>
</sst>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 * #,##0_ ;_ * \-#,##0_ ;_ * &quot;-&quot;??_ ;_ @_ "/>
    <numFmt numFmtId="178" formatCode="#,##0_ "/>
    <numFmt numFmtId="179" formatCode="#,##0.00_ "/>
    <numFmt numFmtId="180" formatCode="0_ "/>
    <numFmt numFmtId="181" formatCode="##&quot;月&quot;"/>
    <numFmt numFmtId="182" formatCode="0.0"/>
    <numFmt numFmtId="183" formatCode="0.00_ "/>
    <numFmt numFmtId="184" formatCode="#,##0.00_ ;[Red]\-#,##0.00\ "/>
    <numFmt numFmtId="185" formatCode="_ \¥* #,##0.00_ ;_ \¥* \-#,##0.00_ ;_ \¥* &quot;-&quot;??_ ;_ @_ "/>
  </numFmts>
  <fonts count="47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Microsoft YaHei UI"/>
      <charset val="134"/>
    </font>
    <font>
      <b/>
      <sz val="9"/>
      <color theme="1"/>
      <name val="Microsoft YaHei UI"/>
      <charset val="134"/>
    </font>
    <font>
      <sz val="9"/>
      <color theme="1"/>
      <name val="微软雅黑"/>
      <charset val="134"/>
    </font>
    <font>
      <sz val="9"/>
      <name val="Microsoft YaHei UI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8"/>
      <color theme="1"/>
      <name val="Microsoft YaHei UI"/>
      <charset val="134"/>
    </font>
    <font>
      <sz val="8"/>
      <name val="Microsoft YaHei UI"/>
      <charset val="134"/>
    </font>
    <font>
      <sz val="8"/>
      <color theme="1"/>
      <name val="等线"/>
      <charset val="134"/>
      <scheme val="minor"/>
    </font>
    <font>
      <b/>
      <sz val="8"/>
      <color theme="1"/>
      <name val="微软雅黑"/>
      <charset val="134"/>
    </font>
    <font>
      <b/>
      <sz val="8"/>
      <name val="Microsoft YaHei UI"/>
      <charset val="134"/>
    </font>
    <font>
      <sz val="8"/>
      <color rgb="FFFF0000"/>
      <name val="微软雅黑"/>
      <charset val="134"/>
    </font>
    <font>
      <sz val="8"/>
      <color rgb="FFFF0000"/>
      <name val="Microsoft YaHei UI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indexed="8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8" borderId="32" applyNumberFormat="0" applyAlignment="0" applyProtection="0">
      <alignment vertical="center"/>
    </xf>
    <xf numFmtId="0" fontId="34" fillId="19" borderId="33" applyNumberFormat="0" applyAlignment="0" applyProtection="0">
      <alignment vertical="center"/>
    </xf>
    <xf numFmtId="0" fontId="35" fillId="19" borderId="32" applyNumberFormat="0" applyAlignment="0" applyProtection="0">
      <alignment vertical="center"/>
    </xf>
    <xf numFmtId="0" fontId="36" fillId="20" borderId="34" applyNumberFormat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176" fontId="44" fillId="0" borderId="0" applyFont="0" applyFill="0" applyBorder="0" applyAlignment="0" applyProtection="0"/>
  </cellStyleXfs>
  <cellXfs count="2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Protection="1">
      <alignment vertical="center"/>
      <protection locked="0"/>
    </xf>
    <xf numFmtId="43" fontId="2" fillId="3" borderId="1" xfId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Protection="1">
      <alignment vertical="center"/>
      <protection locked="0"/>
    </xf>
    <xf numFmtId="0" fontId="3" fillId="5" borderId="4" xfId="0" applyFont="1" applyFill="1" applyBorder="1" applyAlignment="1" applyProtection="1">
      <alignment horizontal="left" vertical="center"/>
      <protection locked="0"/>
    </xf>
    <xf numFmtId="0" fontId="3" fillId="6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5" fillId="7" borderId="6" xfId="49" applyFont="1" applyFill="1" applyBorder="1" applyAlignment="1">
      <alignment horizontal="left"/>
    </xf>
    <xf numFmtId="0" fontId="2" fillId="8" borderId="6" xfId="0" applyFont="1" applyFill="1" applyBorder="1" applyProtection="1">
      <alignment vertical="center"/>
      <protection locked="0"/>
    </xf>
    <xf numFmtId="177" fontId="5" fillId="7" borderId="6" xfId="1" applyNumberFormat="1" applyFont="1" applyFill="1" applyBorder="1" applyAlignment="1">
      <alignment horizontal="right"/>
    </xf>
    <xf numFmtId="178" fontId="2" fillId="8" borderId="6" xfId="0" applyNumberFormat="1" applyFont="1" applyFill="1" applyBorder="1" applyProtection="1">
      <alignment vertical="center"/>
      <protection locked="0"/>
    </xf>
    <xf numFmtId="178" fontId="2" fillId="8" borderId="6" xfId="1" applyNumberFormat="1" applyFont="1" applyFill="1" applyBorder="1" applyProtection="1">
      <alignment vertical="center"/>
      <protection locked="0"/>
    </xf>
    <xf numFmtId="177" fontId="2" fillId="9" borderId="6" xfId="1" applyNumberFormat="1" applyFont="1" applyFill="1" applyBorder="1" applyProtection="1">
      <alignment vertical="center"/>
      <protection locked="0"/>
    </xf>
    <xf numFmtId="179" fontId="2" fillId="8" borderId="6" xfId="0" applyNumberFormat="1" applyFont="1" applyFill="1" applyBorder="1" applyProtection="1">
      <alignment vertical="center"/>
      <protection locked="0"/>
    </xf>
    <xf numFmtId="43" fontId="1" fillId="0" borderId="0" xfId="1" applyFont="1">
      <alignment vertical="center"/>
    </xf>
    <xf numFmtId="176" fontId="6" fillId="0" borderId="3" xfId="52" applyFont="1" applyFill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>
      <alignment horizontal="left" vertical="center"/>
    </xf>
    <xf numFmtId="43" fontId="0" fillId="0" borderId="0" xfId="0" applyNumberFormat="1">
      <alignment vertical="center"/>
    </xf>
    <xf numFmtId="43" fontId="7" fillId="3" borderId="3" xfId="0" applyNumberFormat="1" applyFont="1" applyFill="1" applyBorder="1" applyAlignment="1" applyProtection="1">
      <alignment horizontal="left" vertical="center"/>
      <protection locked="0"/>
    </xf>
    <xf numFmtId="9" fontId="7" fillId="3" borderId="3" xfId="3" applyFont="1" applyFill="1" applyBorder="1" applyAlignment="1" applyProtection="1">
      <alignment horizontal="left" vertical="center"/>
      <protection locked="0"/>
    </xf>
    <xf numFmtId="43" fontId="7" fillId="10" borderId="3" xfId="0" applyNumberFormat="1" applyFont="1" applyFill="1" applyBorder="1" applyAlignment="1">
      <alignment horizontal="left" vertical="center"/>
    </xf>
    <xf numFmtId="0" fontId="7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>
      <alignment vertical="center"/>
    </xf>
    <xf numFmtId="0" fontId="9" fillId="8" borderId="3" xfId="49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1" fillId="0" borderId="0" xfId="0" applyFont="1" applyProtection="1">
      <alignment vertical="center"/>
      <protection locked="0"/>
    </xf>
    <xf numFmtId="43" fontId="7" fillId="0" borderId="0" xfId="0" applyNumberFormat="1" applyFont="1" applyProtection="1">
      <alignment vertical="center"/>
      <protection locked="0"/>
    </xf>
    <xf numFmtId="43" fontId="7" fillId="0" borderId="0" xfId="1" applyFont="1" applyProtection="1">
      <alignment vertical="center"/>
      <protection locked="0"/>
    </xf>
    <xf numFmtId="0" fontId="11" fillId="5" borderId="0" xfId="0" applyFont="1" applyFill="1" applyAlignment="1" applyProtection="1">
      <alignment horizontal="left" vertical="center"/>
      <protection locked="0"/>
    </xf>
    <xf numFmtId="180" fontId="12" fillId="7" borderId="0" xfId="49" applyNumberFormat="1" applyFont="1" applyFill="1" applyAlignment="1">
      <alignment horizontal="right"/>
    </xf>
    <xf numFmtId="179" fontId="12" fillId="7" borderId="0" xfId="49" applyNumberFormat="1" applyFont="1" applyFill="1" applyAlignment="1">
      <alignment horizontal="right"/>
    </xf>
    <xf numFmtId="43" fontId="11" fillId="0" borderId="0" xfId="0" applyNumberFormat="1" applyFont="1" applyAlignment="1">
      <alignment horizontal="left" vertical="center"/>
    </xf>
    <xf numFmtId="10" fontId="7" fillId="0" borderId="0" xfId="0" applyNumberFormat="1" applyFont="1">
      <alignment vertical="center"/>
    </xf>
    <xf numFmtId="43" fontId="11" fillId="0" borderId="3" xfId="1" applyFont="1" applyBorder="1" applyProtection="1">
      <alignment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Protection="1">
      <alignment vertical="center"/>
      <protection locked="0"/>
    </xf>
    <xf numFmtId="0" fontId="11" fillId="11" borderId="7" xfId="0" applyFont="1" applyFill="1" applyBorder="1" applyAlignment="1" applyProtection="1">
      <alignment horizontal="left" vertical="center"/>
      <protection locked="0"/>
    </xf>
    <xf numFmtId="177" fontId="11" fillId="11" borderId="0" xfId="1" applyNumberFormat="1" applyFont="1" applyFill="1">
      <alignment vertical="center"/>
    </xf>
    <xf numFmtId="177" fontId="11" fillId="11" borderId="8" xfId="1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Protection="1">
      <alignment vertical="center"/>
      <protection locked="0"/>
    </xf>
    <xf numFmtId="0" fontId="11" fillId="5" borderId="8" xfId="0" applyFont="1" applyFill="1" applyBorder="1" applyProtection="1">
      <alignment vertical="center"/>
      <protection locked="0"/>
    </xf>
    <xf numFmtId="0" fontId="11" fillId="5" borderId="9" xfId="0" applyFont="1" applyFill="1" applyBorder="1" applyProtection="1">
      <alignment vertical="center"/>
      <protection locked="0"/>
    </xf>
    <xf numFmtId="180" fontId="11" fillId="5" borderId="3" xfId="0" applyNumberFormat="1" applyFont="1" applyFill="1" applyBorder="1">
      <alignment vertical="center"/>
    </xf>
    <xf numFmtId="181" fontId="11" fillId="5" borderId="3" xfId="0" applyNumberFormat="1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>
      <alignment vertical="center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left" vertical="center" wrapText="1"/>
      <protection locked="0"/>
    </xf>
    <xf numFmtId="0" fontId="11" fillId="5" borderId="3" xfId="0" applyFont="1" applyFill="1" applyBorder="1" applyAlignment="1" applyProtection="1">
      <alignment vertical="center" wrapText="1"/>
      <protection locked="0"/>
    </xf>
    <xf numFmtId="0" fontId="11" fillId="5" borderId="0" xfId="0" applyFont="1" applyFill="1" applyAlignment="1" applyProtection="1">
      <alignment horizontal="left" vertical="center" wrapText="1"/>
      <protection locked="0"/>
    </xf>
    <xf numFmtId="0" fontId="11" fillId="5" borderId="3" xfId="0" applyFont="1" applyFill="1" applyBorder="1" applyAlignment="1" applyProtection="1">
      <alignment horizontal="right" vertical="center" wrapText="1"/>
      <protection locked="0"/>
    </xf>
    <xf numFmtId="0" fontId="8" fillId="0" borderId="3" xfId="0" applyFont="1" applyBorder="1" applyAlignment="1" applyProtection="1">
      <alignment vertical="center" wrapText="1"/>
      <protection locked="0"/>
    </xf>
    <xf numFmtId="0" fontId="9" fillId="8" borderId="3" xfId="49" applyFont="1" applyFill="1" applyBorder="1" applyAlignment="1" applyProtection="1">
      <alignment horizontal="left"/>
      <protection locked="0"/>
    </xf>
    <xf numFmtId="49" fontId="9" fillId="8" borderId="3" xfId="49" applyNumberFormat="1" applyFont="1" applyFill="1" applyBorder="1" applyAlignment="1" applyProtection="1">
      <alignment horizontal="center"/>
      <protection locked="0"/>
    </xf>
    <xf numFmtId="1" fontId="8" fillId="8" borderId="3" xfId="0" applyNumberFormat="1" applyFont="1" applyFill="1" applyBorder="1" applyProtection="1">
      <alignment vertical="center"/>
      <protection locked="0"/>
    </xf>
    <xf numFmtId="180" fontId="12" fillId="7" borderId="3" xfId="49" applyNumberFormat="1" applyFont="1" applyFill="1" applyBorder="1" applyAlignment="1">
      <alignment horizontal="right"/>
    </xf>
    <xf numFmtId="0" fontId="9" fillId="8" borderId="3" xfId="49" applyFont="1" applyFill="1" applyBorder="1" applyAlignment="1" applyProtection="1">
      <alignment horizontal="center"/>
      <protection locked="0"/>
    </xf>
    <xf numFmtId="0" fontId="8" fillId="8" borderId="3" xfId="0" applyFont="1" applyFill="1" applyBorder="1" applyProtection="1">
      <alignment vertical="center"/>
      <protection locked="0"/>
    </xf>
    <xf numFmtId="0" fontId="14" fillId="8" borderId="3" xfId="49" applyFont="1" applyFill="1" applyBorder="1" applyAlignment="1" applyProtection="1">
      <alignment horizontal="center" vertical="center"/>
      <protection locked="0"/>
    </xf>
    <xf numFmtId="0" fontId="9" fillId="8" borderId="3" xfId="49" applyFont="1" applyFill="1" applyBorder="1" applyAlignment="1" applyProtection="1">
      <alignment horizontal="center" vertical="center"/>
      <protection locked="0"/>
    </xf>
    <xf numFmtId="0" fontId="14" fillId="8" borderId="3" xfId="0" applyFont="1" applyFill="1" applyBorder="1" applyAlignment="1" applyProtection="1">
      <alignment horizontal="center" vertical="center"/>
      <protection locked="0"/>
    </xf>
    <xf numFmtId="0" fontId="8" fillId="8" borderId="3" xfId="0" applyFont="1" applyFill="1" applyBorder="1" applyAlignment="1" applyProtection="1">
      <alignment horizontal="center" vertical="center"/>
      <protection locked="0"/>
    </xf>
    <xf numFmtId="0" fontId="9" fillId="9" borderId="3" xfId="49" applyFont="1" applyFill="1" applyBorder="1" applyAlignment="1" applyProtection="1">
      <alignment horizontal="center"/>
      <protection locked="0"/>
    </xf>
    <xf numFmtId="0" fontId="14" fillId="8" borderId="3" xfId="0" applyFont="1" applyFill="1" applyBorder="1" applyProtection="1">
      <alignment vertical="center"/>
      <protection locked="0"/>
    </xf>
    <xf numFmtId="0" fontId="9" fillId="8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vertical="center" wrapText="1"/>
      <protection locked="0"/>
    </xf>
    <xf numFmtId="0" fontId="9" fillId="8" borderId="3" xfId="0" applyFont="1" applyFill="1" applyBorder="1" applyProtection="1">
      <alignment vertical="center"/>
      <protection locked="0"/>
    </xf>
    <xf numFmtId="182" fontId="7" fillId="0" borderId="0" xfId="0" applyNumberFormat="1" applyFont="1" applyProtection="1">
      <alignment vertical="center"/>
      <protection locked="0"/>
    </xf>
    <xf numFmtId="183" fontId="12" fillId="7" borderId="0" xfId="49" applyNumberFormat="1" applyFont="1" applyFill="1" applyAlignment="1">
      <alignment horizontal="right"/>
    </xf>
    <xf numFmtId="9" fontId="7" fillId="0" borderId="0" xfId="3" applyFont="1" applyProtection="1">
      <alignment vertical="center"/>
      <protection locked="0"/>
    </xf>
    <xf numFmtId="10" fontId="7" fillId="0" borderId="0" xfId="3" applyNumberFormat="1" applyFont="1" applyProtection="1">
      <alignment vertical="center"/>
      <protection locked="0"/>
    </xf>
    <xf numFmtId="0" fontId="11" fillId="5" borderId="3" xfId="0" applyFont="1" applyFill="1" applyBorder="1" applyProtection="1">
      <alignment vertical="center"/>
      <protection locked="0"/>
    </xf>
    <xf numFmtId="43" fontId="9" fillId="8" borderId="3" xfId="49" applyNumberFormat="1" applyFont="1" applyFill="1" applyBorder="1" applyAlignment="1" applyProtection="1">
      <alignment horizontal="center"/>
      <protection locked="0"/>
    </xf>
    <xf numFmtId="1" fontId="8" fillId="9" borderId="3" xfId="0" applyNumberFormat="1" applyFont="1" applyFill="1" applyBorder="1" applyProtection="1">
      <alignment vertical="center"/>
      <protection locked="0"/>
    </xf>
    <xf numFmtId="1" fontId="10" fillId="9" borderId="3" xfId="0" applyNumberFormat="1" applyFont="1" applyFill="1" applyBorder="1">
      <alignment vertical="center"/>
    </xf>
    <xf numFmtId="0" fontId="15" fillId="0" borderId="0" xfId="51" applyFont="1" applyAlignment="1" applyProtection="1">
      <alignment horizontal="center" vertical="center"/>
      <protection locked="0"/>
    </xf>
    <xf numFmtId="0" fontId="15" fillId="12" borderId="0" xfId="51" applyFont="1" applyFill="1" applyAlignment="1" applyProtection="1">
      <alignment vertical="center"/>
      <protection locked="0"/>
    </xf>
    <xf numFmtId="49" fontId="15" fillId="12" borderId="0" xfId="51" applyNumberFormat="1" applyFont="1" applyFill="1" applyAlignment="1" applyProtection="1">
      <alignment horizontal="center" vertical="center"/>
      <protection locked="0"/>
    </xf>
    <xf numFmtId="0" fontId="15" fillId="12" borderId="0" xfId="51" applyFont="1" applyFill="1" applyAlignment="1" applyProtection="1">
      <alignment horizontal="center" vertical="center"/>
      <protection locked="0"/>
    </xf>
    <xf numFmtId="0" fontId="15" fillId="12" borderId="0" xfId="51" applyFont="1" applyFill="1" applyAlignment="1" applyProtection="1">
      <alignment vertical="center" wrapText="1"/>
      <protection locked="0"/>
    </xf>
    <xf numFmtId="176" fontId="15" fillId="12" borderId="0" xfId="52" applyFont="1" applyFill="1" applyAlignment="1" applyProtection="1">
      <alignment vertical="center"/>
      <protection locked="0"/>
    </xf>
    <xf numFmtId="0" fontId="15" fillId="12" borderId="0" xfId="51" applyFont="1" applyFill="1" applyAlignment="1" applyProtection="1">
      <alignment horizontal="left" vertical="center"/>
      <protection locked="0"/>
    </xf>
    <xf numFmtId="0" fontId="15" fillId="0" borderId="0" xfId="51" applyFont="1" applyAlignment="1" applyProtection="1">
      <alignment vertical="center"/>
      <protection locked="0"/>
    </xf>
    <xf numFmtId="0" fontId="16" fillId="0" borderId="0" xfId="51" applyFont="1" applyAlignment="1" applyProtection="1">
      <alignment horizontal="center" vertical="center" wrapText="1"/>
      <protection locked="0"/>
    </xf>
    <xf numFmtId="0" fontId="15" fillId="9" borderId="0" xfId="51" applyFont="1" applyFill="1" applyAlignment="1" applyProtection="1">
      <alignment horizontal="center" vertical="center"/>
      <protection locked="0"/>
    </xf>
    <xf numFmtId="0" fontId="17" fillId="0" borderId="0" xfId="51" applyFont="1" applyAlignment="1" applyProtection="1">
      <alignment vertical="center"/>
      <protection locked="0"/>
    </xf>
    <xf numFmtId="49" fontId="17" fillId="0" borderId="0" xfId="51" applyNumberFormat="1" applyFont="1" applyAlignment="1" applyProtection="1">
      <alignment horizontal="center" vertical="center"/>
      <protection locked="0"/>
    </xf>
    <xf numFmtId="0" fontId="17" fillId="0" borderId="0" xfId="51" applyFont="1" applyAlignment="1" applyProtection="1">
      <alignment horizontal="center" vertical="center"/>
      <protection locked="0"/>
    </xf>
    <xf numFmtId="0" fontId="17" fillId="0" borderId="0" xfId="51" applyFont="1" applyAlignment="1" applyProtection="1">
      <alignment vertical="center" wrapText="1"/>
      <protection locked="0"/>
    </xf>
    <xf numFmtId="176" fontId="17" fillId="0" borderId="0" xfId="52" applyFont="1" applyFill="1" applyAlignment="1" applyProtection="1">
      <alignment vertical="center"/>
      <protection locked="0"/>
    </xf>
    <xf numFmtId="0" fontId="17" fillId="0" borderId="10" xfId="51" applyFont="1" applyBorder="1" applyAlignment="1" applyProtection="1">
      <alignment vertical="center"/>
      <protection locked="0"/>
    </xf>
    <xf numFmtId="0" fontId="18" fillId="0" borderId="10" xfId="51" applyFont="1" applyBorder="1" applyAlignment="1" applyProtection="1">
      <alignment horizontal="left" vertical="center" wrapText="1"/>
      <protection locked="0"/>
    </xf>
    <xf numFmtId="0" fontId="17" fillId="0" borderId="10" xfId="51" applyFont="1" applyBorder="1" applyAlignment="1" applyProtection="1">
      <alignment horizontal="center" vertical="center" wrapText="1"/>
      <protection locked="0"/>
    </xf>
    <xf numFmtId="0" fontId="17" fillId="0" borderId="10" xfId="51" applyFont="1" applyBorder="1" applyAlignment="1" applyProtection="1">
      <alignment horizontal="left" vertical="center" wrapText="1"/>
      <protection locked="0"/>
    </xf>
    <xf numFmtId="176" fontId="17" fillId="0" borderId="10" xfId="52" applyFont="1" applyFill="1" applyBorder="1" applyAlignment="1" applyProtection="1">
      <alignment vertical="center"/>
      <protection locked="0"/>
    </xf>
    <xf numFmtId="0" fontId="17" fillId="0" borderId="10" xfId="51" applyFont="1" applyBorder="1" applyAlignment="1" applyProtection="1">
      <alignment horizontal="left" vertical="center"/>
      <protection locked="0"/>
    </xf>
    <xf numFmtId="0" fontId="19" fillId="13" borderId="11" xfId="51" applyFont="1" applyFill="1" applyBorder="1" applyAlignment="1" applyProtection="1">
      <alignment vertical="center"/>
      <protection locked="0"/>
    </xf>
    <xf numFmtId="0" fontId="19" fillId="13" borderId="11" xfId="51" applyFont="1" applyFill="1" applyBorder="1" applyAlignment="1" applyProtection="1">
      <alignment horizontal="center" vertical="center"/>
      <protection locked="0"/>
    </xf>
    <xf numFmtId="0" fontId="19" fillId="13" borderId="11" xfId="51" applyFont="1" applyFill="1" applyBorder="1" applyAlignment="1" applyProtection="1">
      <alignment vertical="center" wrapText="1"/>
      <protection locked="0"/>
    </xf>
    <xf numFmtId="0" fontId="19" fillId="13" borderId="12" xfId="51" applyFont="1" applyFill="1" applyBorder="1" applyAlignment="1" applyProtection="1">
      <alignment vertical="center"/>
      <protection locked="0"/>
    </xf>
    <xf numFmtId="0" fontId="15" fillId="0" borderId="13" xfId="51" applyFont="1" applyBorder="1" applyAlignment="1" applyProtection="1">
      <alignment horizontal="center" vertical="center" wrapText="1"/>
      <protection locked="0"/>
    </xf>
    <xf numFmtId="49" fontId="15" fillId="0" borderId="13" xfId="51" applyNumberFormat="1" applyFont="1" applyBorder="1" applyAlignment="1" applyProtection="1">
      <alignment horizontal="center" vertical="center" wrapText="1"/>
      <protection locked="0"/>
    </xf>
    <xf numFmtId="0" fontId="15" fillId="0" borderId="14" xfId="51" applyFont="1" applyBorder="1" applyAlignment="1" applyProtection="1">
      <alignment horizontal="center" vertical="center" wrapText="1"/>
      <protection locked="0"/>
    </xf>
    <xf numFmtId="0" fontId="15" fillId="0" borderId="10" xfId="51" applyFont="1" applyBorder="1" applyAlignment="1" applyProtection="1">
      <alignment horizontal="center" vertical="center" wrapText="1"/>
      <protection locked="0"/>
    </xf>
    <xf numFmtId="176" fontId="15" fillId="0" borderId="3" xfId="52" applyFont="1" applyFill="1" applyBorder="1" applyAlignment="1" applyProtection="1">
      <alignment horizontal="center" vertical="center" wrapText="1"/>
      <protection locked="0"/>
    </xf>
    <xf numFmtId="0" fontId="15" fillId="0" borderId="7" xfId="51" applyFont="1" applyBorder="1" applyAlignment="1" applyProtection="1">
      <alignment horizontal="center" vertical="center" wrapText="1"/>
      <protection locked="0"/>
    </xf>
    <xf numFmtId="0" fontId="15" fillId="0" borderId="9" xfId="51" applyFont="1" applyBorder="1" applyAlignment="1" applyProtection="1">
      <alignment horizontal="center" vertical="center" wrapText="1"/>
      <protection locked="0"/>
    </xf>
    <xf numFmtId="0" fontId="15" fillId="0" borderId="3" xfId="51" applyFont="1" applyBorder="1" applyAlignment="1" applyProtection="1">
      <alignment horizontal="center" vertical="center" wrapText="1"/>
      <protection locked="0"/>
    </xf>
    <xf numFmtId="43" fontId="15" fillId="9" borderId="0" xfId="1" applyFont="1" applyFill="1" applyAlignment="1" applyProtection="1">
      <alignment horizontal="center" vertical="center"/>
      <protection locked="0"/>
    </xf>
    <xf numFmtId="0" fontId="15" fillId="0" borderId="12" xfId="51" applyFont="1" applyBorder="1" applyAlignment="1" applyProtection="1">
      <alignment horizontal="center" vertical="center" wrapText="1"/>
      <protection locked="0"/>
    </xf>
    <xf numFmtId="49" fontId="15" fillId="0" borderId="12" xfId="51" applyNumberFormat="1" applyFont="1" applyBorder="1" applyAlignment="1" applyProtection="1">
      <alignment horizontal="center" vertical="center" wrapText="1"/>
      <protection locked="0"/>
    </xf>
    <xf numFmtId="0" fontId="15" fillId="8" borderId="12" xfId="51" applyFont="1" applyFill="1" applyBorder="1" applyAlignment="1" applyProtection="1">
      <alignment horizontal="center" vertical="center" wrapText="1"/>
      <protection locked="0"/>
    </xf>
    <xf numFmtId="0" fontId="15" fillId="8" borderId="12" xfId="51" applyFont="1" applyFill="1" applyBorder="1" applyAlignment="1" applyProtection="1">
      <alignment horizontal="left" vertical="center" wrapText="1"/>
      <protection locked="0"/>
    </xf>
    <xf numFmtId="0" fontId="15" fillId="0" borderId="15" xfId="51" applyFont="1" applyBorder="1" applyAlignment="1" applyProtection="1">
      <alignment horizontal="center" vertical="center" wrapText="1"/>
      <protection locked="0"/>
    </xf>
    <xf numFmtId="0" fontId="15" fillId="0" borderId="16" xfId="51" applyFont="1" applyBorder="1" applyAlignment="1" applyProtection="1">
      <alignment horizontal="center" vertical="center" wrapText="1"/>
      <protection locked="0"/>
    </xf>
    <xf numFmtId="176" fontId="15" fillId="8" borderId="17" xfId="52" applyFont="1" applyFill="1" applyBorder="1" applyAlignment="1" applyProtection="1">
      <alignment horizontal="right" vertical="center" wrapText="1"/>
      <protection locked="0"/>
    </xf>
    <xf numFmtId="9" fontId="15" fillId="8" borderId="3" xfId="3" applyFont="1" applyFill="1" applyBorder="1" applyAlignment="1" applyProtection="1">
      <alignment vertical="center" wrapText="1"/>
      <protection locked="0"/>
    </xf>
    <xf numFmtId="43" fontId="15" fillId="14" borderId="3" xfId="1" applyFont="1" applyFill="1" applyBorder="1" applyAlignment="1" applyProtection="1">
      <alignment vertical="center" wrapText="1"/>
      <protection hidden="1"/>
    </xf>
    <xf numFmtId="176" fontId="15" fillId="0" borderId="7" xfId="52" applyFont="1" applyFill="1" applyBorder="1" applyAlignment="1" applyProtection="1">
      <alignment horizontal="center" vertical="center" wrapText="1"/>
      <protection locked="0"/>
    </xf>
    <xf numFmtId="176" fontId="15" fillId="0" borderId="9" xfId="52" applyFont="1" applyFill="1" applyBorder="1" applyAlignment="1" applyProtection="1">
      <alignment horizontal="center" vertical="center" wrapText="1"/>
      <protection locked="0"/>
    </xf>
    <xf numFmtId="9" fontId="20" fillId="0" borderId="3" xfId="3" applyFont="1" applyFill="1" applyBorder="1" applyAlignment="1" applyProtection="1">
      <alignment horizontal="center" vertical="center" wrapText="1"/>
      <protection locked="0"/>
    </xf>
    <xf numFmtId="0" fontId="15" fillId="0" borderId="18" xfId="51" applyFont="1" applyBorder="1" applyAlignment="1" applyProtection="1">
      <alignment horizontal="center" vertical="center" wrapText="1"/>
      <protection locked="0"/>
    </xf>
    <xf numFmtId="49" fontId="15" fillId="0" borderId="18" xfId="51" applyNumberFormat="1" applyFont="1" applyBorder="1" applyAlignment="1" applyProtection="1">
      <alignment horizontal="center" vertical="center" wrapText="1"/>
      <protection locked="0"/>
    </xf>
    <xf numFmtId="0" fontId="15" fillId="8" borderId="18" xfId="51" applyFont="1" applyFill="1" applyBorder="1" applyAlignment="1" applyProtection="1">
      <alignment horizontal="center" vertical="center" wrapText="1"/>
      <protection locked="0"/>
    </xf>
    <xf numFmtId="0" fontId="15" fillId="8" borderId="18" xfId="51" applyFont="1" applyFill="1" applyBorder="1" applyAlignment="1" applyProtection="1">
      <alignment horizontal="left" vertical="center" wrapText="1"/>
      <protection locked="0"/>
    </xf>
    <xf numFmtId="0" fontId="15" fillId="0" borderId="19" xfId="51" applyFont="1" applyBorder="1" applyAlignment="1" applyProtection="1">
      <alignment horizontal="center" vertical="center" wrapText="1"/>
      <protection locked="0"/>
    </xf>
    <xf numFmtId="0" fontId="15" fillId="0" borderId="20" xfId="51" applyFont="1" applyBorder="1" applyAlignment="1" applyProtection="1">
      <alignment horizontal="center" vertical="center" wrapText="1"/>
      <protection locked="0"/>
    </xf>
    <xf numFmtId="176" fontId="15" fillId="8" borderId="21" xfId="52" applyFont="1" applyFill="1" applyBorder="1" applyAlignment="1" applyProtection="1">
      <alignment horizontal="right" vertical="center" wrapText="1"/>
      <protection locked="0"/>
    </xf>
    <xf numFmtId="0" fontId="17" fillId="0" borderId="11" xfId="51" applyFont="1" applyBorder="1" applyAlignment="1" applyProtection="1">
      <alignment horizontal="right" vertical="center" wrapText="1"/>
      <protection locked="0"/>
    </xf>
    <xf numFmtId="0" fontId="17" fillId="0" borderId="11" xfId="51" applyFont="1" applyBorder="1" applyAlignment="1" applyProtection="1">
      <alignment horizontal="center" vertical="center" wrapText="1"/>
      <protection locked="0"/>
    </xf>
    <xf numFmtId="0" fontId="17" fillId="0" borderId="22" xfId="51" applyFont="1" applyBorder="1" applyAlignment="1" applyProtection="1">
      <alignment horizontal="center" vertical="center" wrapText="1"/>
      <protection locked="0"/>
    </xf>
    <xf numFmtId="0" fontId="17" fillId="0" borderId="22" xfId="51" applyFont="1" applyBorder="1" applyAlignment="1" applyProtection="1">
      <alignment horizontal="right" vertical="center" wrapText="1"/>
      <protection locked="0"/>
    </xf>
    <xf numFmtId="176" fontId="17" fillId="0" borderId="3" xfId="52" applyFont="1" applyFill="1" applyBorder="1" applyAlignment="1" applyProtection="1">
      <alignment vertical="center" wrapText="1"/>
      <protection locked="0"/>
    </xf>
    <xf numFmtId="176" fontId="17" fillId="0" borderId="7" xfId="52" applyFont="1" applyFill="1" applyBorder="1" applyAlignment="1" applyProtection="1">
      <alignment vertical="center" wrapText="1"/>
      <protection locked="0"/>
    </xf>
    <xf numFmtId="176" fontId="17" fillId="14" borderId="7" xfId="52" applyFont="1" applyFill="1" applyBorder="1" applyAlignment="1" applyProtection="1">
      <alignment vertical="center" wrapText="1"/>
      <protection hidden="1"/>
    </xf>
    <xf numFmtId="0" fontId="17" fillId="0" borderId="7" xfId="51" applyFont="1" applyBorder="1" applyAlignment="1" applyProtection="1">
      <alignment horizontal="center" vertical="center" wrapText="1"/>
      <protection locked="0"/>
    </xf>
    <xf numFmtId="0" fontId="17" fillId="0" borderId="8" xfId="51" applyFont="1" applyBorder="1" applyAlignment="1" applyProtection="1">
      <alignment horizontal="center" vertical="center" wrapText="1"/>
      <protection locked="0"/>
    </xf>
    <xf numFmtId="0" fontId="17" fillId="0" borderId="9" xfId="51" applyFont="1" applyBorder="1" applyAlignment="1" applyProtection="1">
      <alignment horizontal="center" vertical="center" wrapText="1"/>
      <protection locked="0"/>
    </xf>
    <xf numFmtId="43" fontId="17" fillId="9" borderId="0" xfId="1" applyFont="1" applyFill="1" applyAlignment="1" applyProtection="1">
      <alignment horizontal="center" vertical="center"/>
      <protection locked="0"/>
    </xf>
    <xf numFmtId="0" fontId="21" fillId="13" borderId="11" xfId="51" applyFont="1" applyFill="1" applyBorder="1" applyAlignment="1" applyProtection="1">
      <alignment vertical="center"/>
      <protection locked="0"/>
    </xf>
    <xf numFmtId="0" fontId="19" fillId="13" borderId="13" xfId="51" applyFont="1" applyFill="1" applyBorder="1" applyAlignment="1" applyProtection="1">
      <alignment vertical="center"/>
      <protection locked="0"/>
    </xf>
    <xf numFmtId="176" fontId="15" fillId="0" borderId="23" xfId="52" applyFont="1" applyFill="1" applyBorder="1" applyAlignment="1" applyProtection="1">
      <alignment horizontal="right" vertical="center" wrapText="1"/>
      <protection locked="0"/>
    </xf>
    <xf numFmtId="49" fontId="15" fillId="0" borderId="3" xfId="51" applyNumberFormat="1" applyFont="1" applyBorder="1" applyAlignment="1" applyProtection="1">
      <alignment horizontal="center" vertical="center" wrapText="1"/>
      <protection locked="0"/>
    </xf>
    <xf numFmtId="0" fontId="15" fillId="8" borderId="24" xfId="51" applyFont="1" applyFill="1" applyBorder="1" applyAlignment="1" applyProtection="1">
      <alignment horizontal="center" vertical="center" wrapText="1"/>
      <protection locked="0"/>
    </xf>
    <xf numFmtId="0" fontId="15" fillId="0" borderId="24" xfId="51" applyFont="1" applyBorder="1" applyAlignment="1" applyProtection="1">
      <alignment horizontal="center" vertical="center" wrapText="1"/>
      <protection locked="0"/>
    </xf>
    <xf numFmtId="176" fontId="15" fillId="8" borderId="3" xfId="52" applyFont="1" applyFill="1" applyBorder="1" applyAlignment="1" applyProtection="1">
      <alignment vertical="center" wrapText="1"/>
      <protection locked="0"/>
    </xf>
    <xf numFmtId="176" fontId="15" fillId="8" borderId="3" xfId="52" applyFont="1" applyFill="1" applyBorder="1" applyAlignment="1" applyProtection="1">
      <alignment horizontal="right" vertical="center" wrapText="1"/>
      <protection locked="0"/>
    </xf>
    <xf numFmtId="31" fontId="15" fillId="0" borderId="3" xfId="51" applyNumberFormat="1" applyFont="1" applyBorder="1" applyAlignment="1" applyProtection="1">
      <alignment horizontal="center" vertical="center" wrapText="1"/>
      <protection locked="0"/>
    </xf>
    <xf numFmtId="0" fontId="20" fillId="0" borderId="3" xfId="51" applyFont="1" applyBorder="1" applyAlignment="1" applyProtection="1">
      <alignment horizontal="center" vertical="center" wrapText="1"/>
      <protection locked="0"/>
    </xf>
    <xf numFmtId="43" fontId="15" fillId="0" borderId="0" xfId="51" applyNumberFormat="1" applyFont="1" applyAlignment="1" applyProtection="1">
      <alignment vertical="center"/>
      <protection locked="0"/>
    </xf>
    <xf numFmtId="43" fontId="15" fillId="0" borderId="0" xfId="1" applyFont="1" applyAlignment="1" applyProtection="1">
      <alignment vertical="center"/>
      <protection locked="0"/>
    </xf>
    <xf numFmtId="0" fontId="20" fillId="0" borderId="3" xfId="51" applyFont="1" applyBorder="1" applyAlignment="1" applyProtection="1">
      <alignment horizontal="left" vertical="center" wrapText="1"/>
      <protection locked="0"/>
    </xf>
    <xf numFmtId="43" fontId="20" fillId="8" borderId="3" xfId="1" applyFont="1" applyFill="1" applyBorder="1" applyAlignment="1" applyProtection="1">
      <alignment vertical="center" wrapText="1"/>
      <protection locked="0"/>
    </xf>
    <xf numFmtId="176" fontId="15" fillId="14" borderId="3" xfId="52" applyFont="1" applyFill="1" applyBorder="1" applyAlignment="1" applyProtection="1">
      <alignment horizontal="right" vertical="center" wrapText="1"/>
      <protection hidden="1"/>
    </xf>
    <xf numFmtId="176" fontId="20" fillId="8" borderId="3" xfId="52" applyFont="1" applyFill="1" applyBorder="1" applyAlignment="1" applyProtection="1">
      <alignment vertical="center" wrapText="1"/>
      <protection locked="0"/>
    </xf>
    <xf numFmtId="9" fontId="20" fillId="0" borderId="3" xfId="3" applyFont="1" applyFill="1" applyBorder="1" applyAlignment="1" applyProtection="1">
      <alignment horizontal="right" vertical="center" wrapText="1"/>
      <protection locked="0"/>
    </xf>
    <xf numFmtId="43" fontId="15" fillId="14" borderId="9" xfId="3" applyNumberFormat="1" applyFont="1" applyFill="1" applyBorder="1" applyAlignment="1" applyProtection="1">
      <alignment vertical="center" wrapText="1"/>
      <protection hidden="1"/>
    </xf>
    <xf numFmtId="0" fontId="17" fillId="0" borderId="3" xfId="51" applyFont="1" applyBorder="1" applyAlignment="1" applyProtection="1">
      <alignment horizontal="right" vertical="center" wrapText="1"/>
      <protection locked="0"/>
    </xf>
    <xf numFmtId="0" fontId="17" fillId="0" borderId="3" xfId="51" applyFont="1" applyBorder="1" applyAlignment="1" applyProtection="1">
      <alignment horizontal="center" vertical="center" wrapText="1"/>
      <protection locked="0"/>
    </xf>
    <xf numFmtId="176" fontId="17" fillId="14" borderId="3" xfId="52" applyFont="1" applyFill="1" applyBorder="1" applyAlignment="1" applyProtection="1">
      <alignment vertical="center" wrapText="1"/>
      <protection hidden="1"/>
    </xf>
    <xf numFmtId="0" fontId="15" fillId="0" borderId="25" xfId="51" applyFont="1" applyBorder="1" applyAlignment="1" applyProtection="1">
      <alignment horizontal="center" vertical="center" wrapText="1"/>
      <protection locked="0"/>
    </xf>
    <xf numFmtId="0" fontId="17" fillId="0" borderId="13" xfId="51" applyFont="1" applyBorder="1" applyAlignment="1" applyProtection="1">
      <alignment horizontal="center" vertical="center" wrapText="1"/>
      <protection locked="0"/>
    </xf>
    <xf numFmtId="0" fontId="17" fillId="0" borderId="13" xfId="51" applyFont="1" applyBorder="1" applyAlignment="1" applyProtection="1">
      <alignment horizontal="right" vertical="center" wrapText="1"/>
      <protection locked="0"/>
    </xf>
    <xf numFmtId="0" fontId="21" fillId="13" borderId="26" xfId="51" applyFont="1" applyFill="1" applyBorder="1" applyAlignment="1" applyProtection="1">
      <alignment horizontal="left" vertical="center"/>
      <protection locked="0"/>
    </xf>
    <xf numFmtId="0" fontId="19" fillId="13" borderId="27" xfId="51" applyFont="1" applyFill="1" applyBorder="1" applyAlignment="1" applyProtection="1">
      <alignment horizontal="left" vertical="center"/>
      <protection locked="0"/>
    </xf>
    <xf numFmtId="0" fontId="19" fillId="13" borderId="27" xfId="51" applyFont="1" applyFill="1" applyBorder="1" applyAlignment="1" applyProtection="1">
      <alignment horizontal="center" vertical="center"/>
      <protection locked="0"/>
    </xf>
    <xf numFmtId="0" fontId="19" fillId="13" borderId="27" xfId="51" applyFont="1" applyFill="1" applyBorder="1" applyAlignment="1" applyProtection="1">
      <alignment horizontal="left" vertical="center" wrapText="1"/>
      <protection locked="0"/>
    </xf>
    <xf numFmtId="0" fontId="19" fillId="13" borderId="28" xfId="51" applyFont="1" applyFill="1" applyBorder="1" applyAlignment="1" applyProtection="1">
      <alignment horizontal="left" vertical="center"/>
      <protection locked="0"/>
    </xf>
    <xf numFmtId="0" fontId="15" fillId="0" borderId="3" xfId="51" applyFont="1" applyBorder="1" applyAlignment="1" applyProtection="1">
      <alignment vertical="center" wrapText="1"/>
      <protection locked="0"/>
    </xf>
    <xf numFmtId="14" fontId="15" fillId="8" borderId="14" xfId="51" applyNumberFormat="1" applyFont="1" applyFill="1" applyBorder="1" applyAlignment="1" applyProtection="1">
      <alignment horizontal="center" vertical="center" wrapText="1"/>
      <protection locked="0"/>
    </xf>
    <xf numFmtId="0" fontId="15" fillId="8" borderId="3" xfId="51" applyFont="1" applyFill="1" applyBorder="1" applyAlignment="1" applyProtection="1">
      <alignment vertical="center" wrapText="1"/>
      <protection locked="0"/>
    </xf>
    <xf numFmtId="184" fontId="22" fillId="8" borderId="3" xfId="52" applyNumberFormat="1" applyFont="1" applyFill="1" applyBorder="1" applyAlignment="1" applyProtection="1">
      <alignment vertical="center" wrapText="1"/>
      <protection locked="0"/>
    </xf>
    <xf numFmtId="0" fontId="15" fillId="0" borderId="3" xfId="51" applyFont="1" applyBorder="1" applyAlignment="1" applyProtection="1">
      <alignment horizontal="left" vertical="center" wrapText="1"/>
      <protection locked="0"/>
    </xf>
    <xf numFmtId="14" fontId="15" fillId="8" borderId="7" xfId="51" applyNumberFormat="1" applyFont="1" applyFill="1" applyBorder="1" applyAlignment="1" applyProtection="1">
      <alignment horizontal="center" vertical="center" wrapText="1"/>
      <protection locked="0"/>
    </xf>
    <xf numFmtId="14" fontId="15" fillId="0" borderId="7" xfId="51" applyNumberFormat="1" applyFont="1" applyBorder="1" applyAlignment="1" applyProtection="1">
      <alignment horizontal="center" vertical="center" wrapText="1"/>
      <protection locked="0"/>
    </xf>
    <xf numFmtId="184" fontId="22" fillId="0" borderId="3" xfId="52" applyNumberFormat="1" applyFont="1" applyFill="1" applyBorder="1" applyAlignment="1" applyProtection="1">
      <alignment vertical="center" wrapText="1"/>
      <protection locked="0"/>
    </xf>
    <xf numFmtId="183" fontId="15" fillId="0" borderId="3" xfId="51" applyNumberFormat="1" applyFont="1" applyBorder="1" applyAlignment="1" applyProtection="1">
      <alignment vertical="center"/>
      <protection locked="0"/>
    </xf>
    <xf numFmtId="183" fontId="15" fillId="0" borderId="7" xfId="51" applyNumberFormat="1" applyFont="1" applyBorder="1" applyAlignment="1" applyProtection="1">
      <alignment vertical="center"/>
      <protection locked="0"/>
    </xf>
    <xf numFmtId="0" fontId="21" fillId="11" borderId="7" xfId="51" applyFont="1" applyFill="1" applyBorder="1" applyAlignment="1" applyProtection="1">
      <alignment horizontal="left" vertical="center" wrapText="1"/>
      <protection locked="0"/>
    </xf>
    <xf numFmtId="0" fontId="21" fillId="11" borderId="8" xfId="51" applyFont="1" applyFill="1" applyBorder="1" applyAlignment="1" applyProtection="1">
      <alignment horizontal="left" vertical="center" wrapText="1"/>
      <protection locked="0"/>
    </xf>
    <xf numFmtId="0" fontId="21" fillId="11" borderId="8" xfId="51" applyFont="1" applyFill="1" applyBorder="1" applyAlignment="1" applyProtection="1">
      <alignment horizontal="center" vertical="center" wrapText="1"/>
      <protection locked="0"/>
    </xf>
    <xf numFmtId="0" fontId="21" fillId="11" borderId="9" xfId="51" applyFont="1" applyFill="1" applyBorder="1" applyAlignment="1" applyProtection="1">
      <alignment horizontal="left" vertical="center" wrapText="1"/>
      <protection locked="0"/>
    </xf>
    <xf numFmtId="0" fontId="23" fillId="0" borderId="3" xfId="51" applyFont="1" applyBorder="1" applyAlignment="1" applyProtection="1">
      <alignment horizontal="center" vertical="center" wrapText="1"/>
      <protection locked="0"/>
    </xf>
    <xf numFmtId="0" fontId="23" fillId="15" borderId="3" xfId="51" applyFont="1" applyFill="1" applyBorder="1" applyAlignment="1" applyProtection="1">
      <alignment horizontal="center" vertical="center" wrapText="1"/>
      <protection locked="0"/>
    </xf>
    <xf numFmtId="0" fontId="23" fillId="0" borderId="7" xfId="51" applyFont="1" applyBorder="1" applyAlignment="1" applyProtection="1">
      <alignment horizontal="center" vertical="center" wrapText="1"/>
      <protection locked="0"/>
    </xf>
    <xf numFmtId="0" fontId="23" fillId="0" borderId="9" xfId="51" applyFont="1" applyBorder="1" applyAlignment="1" applyProtection="1">
      <alignment horizontal="center" vertical="center" wrapText="1"/>
      <protection locked="0"/>
    </xf>
    <xf numFmtId="0" fontId="23" fillId="15" borderId="3" xfId="51" applyFont="1" applyFill="1" applyBorder="1" applyAlignment="1" applyProtection="1">
      <alignment vertical="center" wrapText="1"/>
      <protection locked="0"/>
    </xf>
    <xf numFmtId="0" fontId="23" fillId="16" borderId="3" xfId="51" applyFont="1" applyFill="1" applyBorder="1" applyAlignment="1" applyProtection="1">
      <alignment vertical="center" wrapText="1"/>
      <protection locked="0"/>
    </xf>
    <xf numFmtId="0" fontId="23" fillId="0" borderId="24" xfId="51" applyFont="1" applyBorder="1" applyAlignment="1" applyProtection="1">
      <alignment horizontal="center" vertical="center" wrapText="1"/>
      <protection locked="0"/>
    </xf>
    <xf numFmtId="0" fontId="23" fillId="16" borderId="24" xfId="51" applyFont="1" applyFill="1" applyBorder="1" applyAlignment="1" applyProtection="1">
      <alignment horizontal="center" vertical="center" wrapText="1"/>
      <protection locked="0"/>
    </xf>
    <xf numFmtId="0" fontId="23" fillId="0" borderId="3" xfId="51" applyFont="1" applyBorder="1" applyAlignment="1" applyProtection="1">
      <alignment vertical="center" wrapText="1"/>
      <protection locked="0"/>
    </xf>
    <xf numFmtId="179" fontId="23" fillId="15" borderId="3" xfId="51" applyNumberFormat="1" applyFont="1" applyFill="1" applyBorder="1" applyAlignment="1" applyProtection="1">
      <alignment horizontal="center" vertical="center" wrapText="1"/>
      <protection locked="0"/>
    </xf>
    <xf numFmtId="179" fontId="23" fillId="15" borderId="3" xfId="51" applyNumberFormat="1" applyFont="1" applyFill="1" applyBorder="1" applyAlignment="1" applyProtection="1">
      <alignment vertical="center" wrapText="1"/>
      <protection locked="0"/>
    </xf>
    <xf numFmtId="0" fontId="23" fillId="0" borderId="6" xfId="51" applyFont="1" applyBorder="1" applyAlignment="1" applyProtection="1">
      <alignment horizontal="center" vertical="center" wrapText="1"/>
      <protection locked="0"/>
    </xf>
    <xf numFmtId="0" fontId="23" fillId="16" borderId="6" xfId="51" applyFont="1" applyFill="1" applyBorder="1" applyAlignment="1" applyProtection="1">
      <alignment horizontal="center" vertical="center" wrapText="1"/>
      <protection locked="0"/>
    </xf>
    <xf numFmtId="0" fontId="21" fillId="13" borderId="3" xfId="51" applyFont="1" applyFill="1" applyBorder="1" applyAlignment="1" applyProtection="1">
      <alignment vertical="center"/>
      <protection locked="0"/>
    </xf>
    <xf numFmtId="0" fontId="19" fillId="13" borderId="3" xfId="51" applyFont="1" applyFill="1" applyBorder="1" applyAlignment="1" applyProtection="1">
      <alignment vertical="center"/>
      <protection locked="0"/>
    </xf>
    <xf numFmtId="0" fontId="19" fillId="13" borderId="3" xfId="51" applyFont="1" applyFill="1" applyBorder="1" applyAlignment="1" applyProtection="1">
      <alignment horizontal="center" vertical="center"/>
      <protection locked="0"/>
    </xf>
    <xf numFmtId="0" fontId="19" fillId="13" borderId="3" xfId="51" applyFont="1" applyFill="1" applyBorder="1" applyAlignment="1" applyProtection="1">
      <alignment vertical="center" wrapText="1"/>
      <protection locked="0"/>
    </xf>
    <xf numFmtId="43" fontId="15" fillId="14" borderId="3" xfId="1" applyFont="1" applyFill="1" applyBorder="1" applyAlignment="1" applyProtection="1">
      <alignment horizontal="center" vertical="center" wrapText="1"/>
      <protection hidden="1"/>
    </xf>
    <xf numFmtId="10" fontId="15" fillId="14" borderId="7" xfId="51" applyNumberFormat="1" applyFont="1" applyFill="1" applyBorder="1" applyAlignment="1" applyProtection="1">
      <alignment horizontal="center" vertical="center" wrapText="1"/>
      <protection hidden="1"/>
    </xf>
    <xf numFmtId="10" fontId="15" fillId="14" borderId="9" xfId="51" applyNumberFormat="1" applyFont="1" applyFill="1" applyBorder="1" applyAlignment="1" applyProtection="1">
      <alignment horizontal="center" vertical="center" wrapText="1"/>
      <protection hidden="1"/>
    </xf>
    <xf numFmtId="10" fontId="15" fillId="0" borderId="3" xfId="51" applyNumberFormat="1" applyFont="1" applyBorder="1" applyAlignment="1" applyProtection="1">
      <alignment horizontal="center" vertical="center" wrapText="1"/>
      <protection locked="0"/>
    </xf>
    <xf numFmtId="10" fontId="15" fillId="0" borderId="7" xfId="51" applyNumberFormat="1" applyFont="1" applyBorder="1" applyAlignment="1" applyProtection="1">
      <alignment horizontal="center" vertical="center" wrapText="1"/>
      <protection locked="0"/>
    </xf>
    <xf numFmtId="0" fontId="15" fillId="0" borderId="8" xfId="51" applyFont="1" applyBorder="1" applyAlignment="1" applyProtection="1">
      <alignment horizontal="center" vertical="center" wrapText="1"/>
      <protection locked="0"/>
    </xf>
    <xf numFmtId="185" fontId="15" fillId="0" borderId="3" xfId="51" applyNumberFormat="1" applyFont="1" applyBorder="1" applyAlignment="1" applyProtection="1">
      <alignment horizontal="center" vertical="center" wrapText="1"/>
      <protection locked="0"/>
    </xf>
    <xf numFmtId="10" fontId="15" fillId="0" borderId="3" xfId="50" applyNumberFormat="1" applyFont="1" applyFill="1" applyBorder="1" applyAlignment="1" applyProtection="1">
      <alignment horizontal="center" vertical="center" wrapText="1"/>
      <protection locked="0"/>
    </xf>
    <xf numFmtId="10" fontId="15" fillId="0" borderId="7" xfId="5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51" applyFont="1" applyAlignment="1" applyProtection="1">
      <alignment horizontal="right" vertical="center" wrapText="1"/>
      <protection locked="0"/>
    </xf>
    <xf numFmtId="49" fontId="17" fillId="0" borderId="0" xfId="51" applyNumberFormat="1" applyFont="1" applyAlignment="1" applyProtection="1">
      <alignment horizontal="center" vertical="center" wrapText="1"/>
      <protection locked="0"/>
    </xf>
    <xf numFmtId="0" fontId="17" fillId="0" borderId="0" xfId="51" applyFont="1" applyAlignment="1" applyProtection="1">
      <alignment horizontal="center" vertical="center" wrapText="1"/>
      <protection locked="0"/>
    </xf>
    <xf numFmtId="176" fontId="17" fillId="0" borderId="0" xfId="52" applyFont="1" applyFill="1" applyAlignment="1" applyProtection="1">
      <alignment vertical="center" wrapText="1"/>
      <protection locked="0"/>
    </xf>
    <xf numFmtId="0" fontId="17" fillId="0" borderId="0" xfId="51" applyFont="1" applyAlignment="1" applyProtection="1">
      <alignment horizontal="left" vertical="center" wrapText="1"/>
      <protection locked="0"/>
    </xf>
    <xf numFmtId="49" fontId="15" fillId="0" borderId="0" xfId="51" applyNumberFormat="1" applyFont="1" applyAlignment="1" applyProtection="1">
      <alignment horizontal="center" vertical="center"/>
      <protection locked="0"/>
    </xf>
    <xf numFmtId="0" fontId="15" fillId="0" borderId="0" xfId="51" applyFont="1" applyAlignment="1" applyProtection="1">
      <alignment vertical="center" wrapText="1"/>
      <protection locked="0"/>
    </xf>
    <xf numFmtId="176" fontId="15" fillId="0" borderId="0" xfId="52" applyFont="1" applyFill="1" applyAlignment="1" applyProtection="1">
      <alignment vertical="center"/>
      <protection locked="0"/>
    </xf>
    <xf numFmtId="0" fontId="15" fillId="0" borderId="0" xfId="51" applyFont="1" applyAlignment="1" applyProtection="1">
      <alignment horizontal="left" vertical="center"/>
      <protection locked="0"/>
    </xf>
    <xf numFmtId="0" fontId="20" fillId="0" borderId="0" xfId="51" applyFont="1" applyAlignment="1" applyProtection="1">
      <alignment vertical="center"/>
      <protection locked="0"/>
    </xf>
    <xf numFmtId="49" fontId="20" fillId="0" borderId="0" xfId="51" applyNumberFormat="1" applyFont="1" applyAlignment="1" applyProtection="1">
      <alignment horizontal="center" vertical="center"/>
      <protection locked="0"/>
    </xf>
    <xf numFmtId="0" fontId="20" fillId="0" borderId="0" xfId="51" applyFont="1" applyAlignment="1" applyProtection="1">
      <alignment horizontal="center" vertical="center"/>
      <protection locked="0"/>
    </xf>
    <xf numFmtId="0" fontId="20" fillId="0" borderId="0" xfId="51" applyFont="1" applyAlignment="1" applyProtection="1">
      <alignment vertical="center" wrapText="1"/>
      <protection locked="0"/>
    </xf>
    <xf numFmtId="176" fontId="20" fillId="0" borderId="0" xfId="52" applyFont="1" applyFill="1" applyAlignment="1" applyProtection="1">
      <alignment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" xfId="49"/>
    <cellStyle name="百分比 2" xfId="50"/>
    <cellStyle name="常规 3" xfId="51"/>
    <cellStyle name="千位分隔 2" xfId="52"/>
  </cellStyles>
  <dxfs count="1">
    <dxf>
      <font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X\Desktop\&#21512;&#21516;&#27169;&#29256;\&#39033;&#30446;&#31435;&#39033;&#34920;V1.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立项"/>
      <sheetName val="立项差旅明细计算"/>
      <sheetName val="附件1-场地工位填报"/>
      <sheetName val="附表2-资金占压"/>
      <sheetName val="附件3-岗位职级体系"/>
      <sheetName val="序列"/>
      <sheetName val="项目立项表V1.0"/>
    </sheetNames>
    <definedNames>
      <definedName name="ASG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86"/>
  <sheetViews>
    <sheetView showGridLines="0" tabSelected="1" zoomScale="85" zoomScaleNormal="85" workbookViewId="0">
      <selection activeCell="A1" sqref="A1:L1"/>
    </sheetView>
  </sheetViews>
  <sheetFormatPr defaultColWidth="9" defaultRowHeight="14"/>
  <cols>
    <col min="1" max="1" width="9" style="87" customWidth="1"/>
    <col min="2" max="2" width="13.7545454545455" style="88" customWidth="1"/>
    <col min="3" max="3" width="30.3727272727273" style="89" customWidth="1"/>
    <col min="4" max="4" width="28.3727272727273" style="90" customWidth="1"/>
    <col min="5" max="5" width="29.1272727272727" style="89" customWidth="1"/>
    <col min="6" max="6" width="22.3727272727273" style="87" customWidth="1"/>
    <col min="7" max="7" width="21.5" style="91" customWidth="1"/>
    <col min="8" max="9" width="18.6272727272727" style="91" customWidth="1"/>
    <col min="10" max="10" width="14.6272727272727" style="91" customWidth="1"/>
    <col min="11" max="11" width="20" style="92" customWidth="1"/>
    <col min="12" max="12" width="47.3727272727273" style="87" customWidth="1"/>
    <col min="13" max="13" width="16.3727272727273" style="86" hidden="1" customWidth="1"/>
    <col min="14" max="14" width="17" style="93" customWidth="1"/>
    <col min="15" max="15" width="15.2545454545455" style="93" customWidth="1"/>
    <col min="16" max="258" width="9" style="93"/>
    <col min="259" max="259" width="8" style="93" customWidth="1"/>
    <col min="260" max="260" width="11.3727272727273" style="93" customWidth="1"/>
    <col min="261" max="261" width="15.7545454545455" style="93" customWidth="1"/>
    <col min="262" max="263" width="16.6272727272727" style="93" customWidth="1"/>
    <col min="264" max="264" width="23.3727272727273" style="93" customWidth="1"/>
    <col min="265" max="266" width="21.3727272727273" style="93" customWidth="1"/>
    <col min="267" max="267" width="19.7545454545455" style="93" customWidth="1"/>
    <col min="268" max="268" width="17.1272727272727" style="93" customWidth="1"/>
    <col min="269" max="269" width="16.3727272727273" style="93" customWidth="1"/>
    <col min="270" max="514" width="9" style="93"/>
    <col min="515" max="515" width="8" style="93" customWidth="1"/>
    <col min="516" max="516" width="11.3727272727273" style="93" customWidth="1"/>
    <col min="517" max="517" width="15.7545454545455" style="93" customWidth="1"/>
    <col min="518" max="519" width="16.6272727272727" style="93" customWidth="1"/>
    <col min="520" max="520" width="23.3727272727273" style="93" customWidth="1"/>
    <col min="521" max="522" width="21.3727272727273" style="93" customWidth="1"/>
    <col min="523" max="523" width="19.7545454545455" style="93" customWidth="1"/>
    <col min="524" max="524" width="17.1272727272727" style="93" customWidth="1"/>
    <col min="525" max="525" width="16.3727272727273" style="93" customWidth="1"/>
    <col min="526" max="770" width="9" style="93"/>
    <col min="771" max="771" width="8" style="93" customWidth="1"/>
    <col min="772" max="772" width="11.3727272727273" style="93" customWidth="1"/>
    <col min="773" max="773" width="15.7545454545455" style="93" customWidth="1"/>
    <col min="774" max="775" width="16.6272727272727" style="93" customWidth="1"/>
    <col min="776" max="776" width="23.3727272727273" style="93" customWidth="1"/>
    <col min="777" max="778" width="21.3727272727273" style="93" customWidth="1"/>
    <col min="779" max="779" width="19.7545454545455" style="93" customWidth="1"/>
    <col min="780" max="780" width="17.1272727272727" style="93" customWidth="1"/>
    <col min="781" max="781" width="16.3727272727273" style="93" customWidth="1"/>
    <col min="782" max="1026" width="9" style="93"/>
    <col min="1027" max="1027" width="8" style="93" customWidth="1"/>
    <col min="1028" max="1028" width="11.3727272727273" style="93" customWidth="1"/>
    <col min="1029" max="1029" width="15.7545454545455" style="93" customWidth="1"/>
    <col min="1030" max="1031" width="16.6272727272727" style="93" customWidth="1"/>
    <col min="1032" max="1032" width="23.3727272727273" style="93" customWidth="1"/>
    <col min="1033" max="1034" width="21.3727272727273" style="93" customWidth="1"/>
    <col min="1035" max="1035" width="19.7545454545455" style="93" customWidth="1"/>
    <col min="1036" max="1036" width="17.1272727272727" style="93" customWidth="1"/>
    <col min="1037" max="1037" width="16.3727272727273" style="93" customWidth="1"/>
    <col min="1038" max="1282" width="9" style="93"/>
    <col min="1283" max="1283" width="8" style="93" customWidth="1"/>
    <col min="1284" max="1284" width="11.3727272727273" style="93" customWidth="1"/>
    <col min="1285" max="1285" width="15.7545454545455" style="93" customWidth="1"/>
    <col min="1286" max="1287" width="16.6272727272727" style="93" customWidth="1"/>
    <col min="1288" max="1288" width="23.3727272727273" style="93" customWidth="1"/>
    <col min="1289" max="1290" width="21.3727272727273" style="93" customWidth="1"/>
    <col min="1291" max="1291" width="19.7545454545455" style="93" customWidth="1"/>
    <col min="1292" max="1292" width="17.1272727272727" style="93" customWidth="1"/>
    <col min="1293" max="1293" width="16.3727272727273" style="93" customWidth="1"/>
    <col min="1294" max="1538" width="9" style="93"/>
    <col min="1539" max="1539" width="8" style="93" customWidth="1"/>
    <col min="1540" max="1540" width="11.3727272727273" style="93" customWidth="1"/>
    <col min="1541" max="1541" width="15.7545454545455" style="93" customWidth="1"/>
    <col min="1542" max="1543" width="16.6272727272727" style="93" customWidth="1"/>
    <col min="1544" max="1544" width="23.3727272727273" style="93" customWidth="1"/>
    <col min="1545" max="1546" width="21.3727272727273" style="93" customWidth="1"/>
    <col min="1547" max="1547" width="19.7545454545455" style="93" customWidth="1"/>
    <col min="1548" max="1548" width="17.1272727272727" style="93" customWidth="1"/>
    <col min="1549" max="1549" width="16.3727272727273" style="93" customWidth="1"/>
    <col min="1550" max="1794" width="9" style="93"/>
    <col min="1795" max="1795" width="8" style="93" customWidth="1"/>
    <col min="1796" max="1796" width="11.3727272727273" style="93" customWidth="1"/>
    <col min="1797" max="1797" width="15.7545454545455" style="93" customWidth="1"/>
    <col min="1798" max="1799" width="16.6272727272727" style="93" customWidth="1"/>
    <col min="1800" max="1800" width="23.3727272727273" style="93" customWidth="1"/>
    <col min="1801" max="1802" width="21.3727272727273" style="93" customWidth="1"/>
    <col min="1803" max="1803" width="19.7545454545455" style="93" customWidth="1"/>
    <col min="1804" max="1804" width="17.1272727272727" style="93" customWidth="1"/>
    <col min="1805" max="1805" width="16.3727272727273" style="93" customWidth="1"/>
    <col min="1806" max="2050" width="9" style="93"/>
    <col min="2051" max="2051" width="8" style="93" customWidth="1"/>
    <col min="2052" max="2052" width="11.3727272727273" style="93" customWidth="1"/>
    <col min="2053" max="2053" width="15.7545454545455" style="93" customWidth="1"/>
    <col min="2054" max="2055" width="16.6272727272727" style="93" customWidth="1"/>
    <col min="2056" max="2056" width="23.3727272727273" style="93" customWidth="1"/>
    <col min="2057" max="2058" width="21.3727272727273" style="93" customWidth="1"/>
    <col min="2059" max="2059" width="19.7545454545455" style="93" customWidth="1"/>
    <col min="2060" max="2060" width="17.1272727272727" style="93" customWidth="1"/>
    <col min="2061" max="2061" width="16.3727272727273" style="93" customWidth="1"/>
    <col min="2062" max="2306" width="9" style="93"/>
    <col min="2307" max="2307" width="8" style="93" customWidth="1"/>
    <col min="2308" max="2308" width="11.3727272727273" style="93" customWidth="1"/>
    <col min="2309" max="2309" width="15.7545454545455" style="93" customWidth="1"/>
    <col min="2310" max="2311" width="16.6272727272727" style="93" customWidth="1"/>
    <col min="2312" max="2312" width="23.3727272727273" style="93" customWidth="1"/>
    <col min="2313" max="2314" width="21.3727272727273" style="93" customWidth="1"/>
    <col min="2315" max="2315" width="19.7545454545455" style="93" customWidth="1"/>
    <col min="2316" max="2316" width="17.1272727272727" style="93" customWidth="1"/>
    <col min="2317" max="2317" width="16.3727272727273" style="93" customWidth="1"/>
    <col min="2318" max="2562" width="9" style="93"/>
    <col min="2563" max="2563" width="8" style="93" customWidth="1"/>
    <col min="2564" max="2564" width="11.3727272727273" style="93" customWidth="1"/>
    <col min="2565" max="2565" width="15.7545454545455" style="93" customWidth="1"/>
    <col min="2566" max="2567" width="16.6272727272727" style="93" customWidth="1"/>
    <col min="2568" max="2568" width="23.3727272727273" style="93" customWidth="1"/>
    <col min="2569" max="2570" width="21.3727272727273" style="93" customWidth="1"/>
    <col min="2571" max="2571" width="19.7545454545455" style="93" customWidth="1"/>
    <col min="2572" max="2572" width="17.1272727272727" style="93" customWidth="1"/>
    <col min="2573" max="2573" width="16.3727272727273" style="93" customWidth="1"/>
    <col min="2574" max="2818" width="9" style="93"/>
    <col min="2819" max="2819" width="8" style="93" customWidth="1"/>
    <col min="2820" max="2820" width="11.3727272727273" style="93" customWidth="1"/>
    <col min="2821" max="2821" width="15.7545454545455" style="93" customWidth="1"/>
    <col min="2822" max="2823" width="16.6272727272727" style="93" customWidth="1"/>
    <col min="2824" max="2824" width="23.3727272727273" style="93" customWidth="1"/>
    <col min="2825" max="2826" width="21.3727272727273" style="93" customWidth="1"/>
    <col min="2827" max="2827" width="19.7545454545455" style="93" customWidth="1"/>
    <col min="2828" max="2828" width="17.1272727272727" style="93" customWidth="1"/>
    <col min="2829" max="2829" width="16.3727272727273" style="93" customWidth="1"/>
    <col min="2830" max="3074" width="9" style="93"/>
    <col min="3075" max="3075" width="8" style="93" customWidth="1"/>
    <col min="3076" max="3076" width="11.3727272727273" style="93" customWidth="1"/>
    <col min="3077" max="3077" width="15.7545454545455" style="93" customWidth="1"/>
    <col min="3078" max="3079" width="16.6272727272727" style="93" customWidth="1"/>
    <col min="3080" max="3080" width="23.3727272727273" style="93" customWidth="1"/>
    <col min="3081" max="3082" width="21.3727272727273" style="93" customWidth="1"/>
    <col min="3083" max="3083" width="19.7545454545455" style="93" customWidth="1"/>
    <col min="3084" max="3084" width="17.1272727272727" style="93" customWidth="1"/>
    <col min="3085" max="3085" width="16.3727272727273" style="93" customWidth="1"/>
    <col min="3086" max="3330" width="9" style="93"/>
    <col min="3331" max="3331" width="8" style="93" customWidth="1"/>
    <col min="3332" max="3332" width="11.3727272727273" style="93" customWidth="1"/>
    <col min="3333" max="3333" width="15.7545454545455" style="93" customWidth="1"/>
    <col min="3334" max="3335" width="16.6272727272727" style="93" customWidth="1"/>
    <col min="3336" max="3336" width="23.3727272727273" style="93" customWidth="1"/>
    <col min="3337" max="3338" width="21.3727272727273" style="93" customWidth="1"/>
    <col min="3339" max="3339" width="19.7545454545455" style="93" customWidth="1"/>
    <col min="3340" max="3340" width="17.1272727272727" style="93" customWidth="1"/>
    <col min="3341" max="3341" width="16.3727272727273" style="93" customWidth="1"/>
    <col min="3342" max="3586" width="9" style="93"/>
    <col min="3587" max="3587" width="8" style="93" customWidth="1"/>
    <col min="3588" max="3588" width="11.3727272727273" style="93" customWidth="1"/>
    <col min="3589" max="3589" width="15.7545454545455" style="93" customWidth="1"/>
    <col min="3590" max="3591" width="16.6272727272727" style="93" customWidth="1"/>
    <col min="3592" max="3592" width="23.3727272727273" style="93" customWidth="1"/>
    <col min="3593" max="3594" width="21.3727272727273" style="93" customWidth="1"/>
    <col min="3595" max="3595" width="19.7545454545455" style="93" customWidth="1"/>
    <col min="3596" max="3596" width="17.1272727272727" style="93" customWidth="1"/>
    <col min="3597" max="3597" width="16.3727272727273" style="93" customWidth="1"/>
    <col min="3598" max="3842" width="9" style="93"/>
    <col min="3843" max="3843" width="8" style="93" customWidth="1"/>
    <col min="3844" max="3844" width="11.3727272727273" style="93" customWidth="1"/>
    <col min="3845" max="3845" width="15.7545454545455" style="93" customWidth="1"/>
    <col min="3846" max="3847" width="16.6272727272727" style="93" customWidth="1"/>
    <col min="3848" max="3848" width="23.3727272727273" style="93" customWidth="1"/>
    <col min="3849" max="3850" width="21.3727272727273" style="93" customWidth="1"/>
    <col min="3851" max="3851" width="19.7545454545455" style="93" customWidth="1"/>
    <col min="3852" max="3852" width="17.1272727272727" style="93" customWidth="1"/>
    <col min="3853" max="3853" width="16.3727272727273" style="93" customWidth="1"/>
    <col min="3854" max="4098" width="9" style="93"/>
    <col min="4099" max="4099" width="8" style="93" customWidth="1"/>
    <col min="4100" max="4100" width="11.3727272727273" style="93" customWidth="1"/>
    <col min="4101" max="4101" width="15.7545454545455" style="93" customWidth="1"/>
    <col min="4102" max="4103" width="16.6272727272727" style="93" customWidth="1"/>
    <col min="4104" max="4104" width="23.3727272727273" style="93" customWidth="1"/>
    <col min="4105" max="4106" width="21.3727272727273" style="93" customWidth="1"/>
    <col min="4107" max="4107" width="19.7545454545455" style="93" customWidth="1"/>
    <col min="4108" max="4108" width="17.1272727272727" style="93" customWidth="1"/>
    <col min="4109" max="4109" width="16.3727272727273" style="93" customWidth="1"/>
    <col min="4110" max="4354" width="9" style="93"/>
    <col min="4355" max="4355" width="8" style="93" customWidth="1"/>
    <col min="4356" max="4356" width="11.3727272727273" style="93" customWidth="1"/>
    <col min="4357" max="4357" width="15.7545454545455" style="93" customWidth="1"/>
    <col min="4358" max="4359" width="16.6272727272727" style="93" customWidth="1"/>
    <col min="4360" max="4360" width="23.3727272727273" style="93" customWidth="1"/>
    <col min="4361" max="4362" width="21.3727272727273" style="93" customWidth="1"/>
    <col min="4363" max="4363" width="19.7545454545455" style="93" customWidth="1"/>
    <col min="4364" max="4364" width="17.1272727272727" style="93" customWidth="1"/>
    <col min="4365" max="4365" width="16.3727272727273" style="93" customWidth="1"/>
    <col min="4366" max="4610" width="9" style="93"/>
    <col min="4611" max="4611" width="8" style="93" customWidth="1"/>
    <col min="4612" max="4612" width="11.3727272727273" style="93" customWidth="1"/>
    <col min="4613" max="4613" width="15.7545454545455" style="93" customWidth="1"/>
    <col min="4614" max="4615" width="16.6272727272727" style="93" customWidth="1"/>
    <col min="4616" max="4616" width="23.3727272727273" style="93" customWidth="1"/>
    <col min="4617" max="4618" width="21.3727272727273" style="93" customWidth="1"/>
    <col min="4619" max="4619" width="19.7545454545455" style="93" customWidth="1"/>
    <col min="4620" max="4620" width="17.1272727272727" style="93" customWidth="1"/>
    <col min="4621" max="4621" width="16.3727272727273" style="93" customWidth="1"/>
    <col min="4622" max="4866" width="9" style="93"/>
    <col min="4867" max="4867" width="8" style="93" customWidth="1"/>
    <col min="4868" max="4868" width="11.3727272727273" style="93" customWidth="1"/>
    <col min="4869" max="4869" width="15.7545454545455" style="93" customWidth="1"/>
    <col min="4870" max="4871" width="16.6272727272727" style="93" customWidth="1"/>
    <col min="4872" max="4872" width="23.3727272727273" style="93" customWidth="1"/>
    <col min="4873" max="4874" width="21.3727272727273" style="93" customWidth="1"/>
    <col min="4875" max="4875" width="19.7545454545455" style="93" customWidth="1"/>
    <col min="4876" max="4876" width="17.1272727272727" style="93" customWidth="1"/>
    <col min="4877" max="4877" width="16.3727272727273" style="93" customWidth="1"/>
    <col min="4878" max="5122" width="9" style="93"/>
    <col min="5123" max="5123" width="8" style="93" customWidth="1"/>
    <col min="5124" max="5124" width="11.3727272727273" style="93" customWidth="1"/>
    <col min="5125" max="5125" width="15.7545454545455" style="93" customWidth="1"/>
    <col min="5126" max="5127" width="16.6272727272727" style="93" customWidth="1"/>
    <col min="5128" max="5128" width="23.3727272727273" style="93" customWidth="1"/>
    <col min="5129" max="5130" width="21.3727272727273" style="93" customWidth="1"/>
    <col min="5131" max="5131" width="19.7545454545455" style="93" customWidth="1"/>
    <col min="5132" max="5132" width="17.1272727272727" style="93" customWidth="1"/>
    <col min="5133" max="5133" width="16.3727272727273" style="93" customWidth="1"/>
    <col min="5134" max="5378" width="9" style="93"/>
    <col min="5379" max="5379" width="8" style="93" customWidth="1"/>
    <col min="5380" max="5380" width="11.3727272727273" style="93" customWidth="1"/>
    <col min="5381" max="5381" width="15.7545454545455" style="93" customWidth="1"/>
    <col min="5382" max="5383" width="16.6272727272727" style="93" customWidth="1"/>
    <col min="5384" max="5384" width="23.3727272727273" style="93" customWidth="1"/>
    <col min="5385" max="5386" width="21.3727272727273" style="93" customWidth="1"/>
    <col min="5387" max="5387" width="19.7545454545455" style="93" customWidth="1"/>
    <col min="5388" max="5388" width="17.1272727272727" style="93" customWidth="1"/>
    <col min="5389" max="5389" width="16.3727272727273" style="93" customWidth="1"/>
    <col min="5390" max="5634" width="9" style="93"/>
    <col min="5635" max="5635" width="8" style="93" customWidth="1"/>
    <col min="5636" max="5636" width="11.3727272727273" style="93" customWidth="1"/>
    <col min="5637" max="5637" width="15.7545454545455" style="93" customWidth="1"/>
    <col min="5638" max="5639" width="16.6272727272727" style="93" customWidth="1"/>
    <col min="5640" max="5640" width="23.3727272727273" style="93" customWidth="1"/>
    <col min="5641" max="5642" width="21.3727272727273" style="93" customWidth="1"/>
    <col min="5643" max="5643" width="19.7545454545455" style="93" customWidth="1"/>
    <col min="5644" max="5644" width="17.1272727272727" style="93" customWidth="1"/>
    <col min="5645" max="5645" width="16.3727272727273" style="93" customWidth="1"/>
    <col min="5646" max="5890" width="9" style="93"/>
    <col min="5891" max="5891" width="8" style="93" customWidth="1"/>
    <col min="5892" max="5892" width="11.3727272727273" style="93" customWidth="1"/>
    <col min="5893" max="5893" width="15.7545454545455" style="93" customWidth="1"/>
    <col min="5894" max="5895" width="16.6272727272727" style="93" customWidth="1"/>
    <col min="5896" max="5896" width="23.3727272727273" style="93" customWidth="1"/>
    <col min="5897" max="5898" width="21.3727272727273" style="93" customWidth="1"/>
    <col min="5899" max="5899" width="19.7545454545455" style="93" customWidth="1"/>
    <col min="5900" max="5900" width="17.1272727272727" style="93" customWidth="1"/>
    <col min="5901" max="5901" width="16.3727272727273" style="93" customWidth="1"/>
    <col min="5902" max="6146" width="9" style="93"/>
    <col min="6147" max="6147" width="8" style="93" customWidth="1"/>
    <col min="6148" max="6148" width="11.3727272727273" style="93" customWidth="1"/>
    <col min="6149" max="6149" width="15.7545454545455" style="93" customWidth="1"/>
    <col min="6150" max="6151" width="16.6272727272727" style="93" customWidth="1"/>
    <col min="6152" max="6152" width="23.3727272727273" style="93" customWidth="1"/>
    <col min="6153" max="6154" width="21.3727272727273" style="93" customWidth="1"/>
    <col min="6155" max="6155" width="19.7545454545455" style="93" customWidth="1"/>
    <col min="6156" max="6156" width="17.1272727272727" style="93" customWidth="1"/>
    <col min="6157" max="6157" width="16.3727272727273" style="93" customWidth="1"/>
    <col min="6158" max="6402" width="9" style="93"/>
    <col min="6403" max="6403" width="8" style="93" customWidth="1"/>
    <col min="6404" max="6404" width="11.3727272727273" style="93" customWidth="1"/>
    <col min="6405" max="6405" width="15.7545454545455" style="93" customWidth="1"/>
    <col min="6406" max="6407" width="16.6272727272727" style="93" customWidth="1"/>
    <col min="6408" max="6408" width="23.3727272727273" style="93" customWidth="1"/>
    <col min="6409" max="6410" width="21.3727272727273" style="93" customWidth="1"/>
    <col min="6411" max="6411" width="19.7545454545455" style="93" customWidth="1"/>
    <col min="6412" max="6412" width="17.1272727272727" style="93" customWidth="1"/>
    <col min="6413" max="6413" width="16.3727272727273" style="93" customWidth="1"/>
    <col min="6414" max="6658" width="9" style="93"/>
    <col min="6659" max="6659" width="8" style="93" customWidth="1"/>
    <col min="6660" max="6660" width="11.3727272727273" style="93" customWidth="1"/>
    <col min="6661" max="6661" width="15.7545454545455" style="93" customWidth="1"/>
    <col min="6662" max="6663" width="16.6272727272727" style="93" customWidth="1"/>
    <col min="6664" max="6664" width="23.3727272727273" style="93" customWidth="1"/>
    <col min="6665" max="6666" width="21.3727272727273" style="93" customWidth="1"/>
    <col min="6667" max="6667" width="19.7545454545455" style="93" customWidth="1"/>
    <col min="6668" max="6668" width="17.1272727272727" style="93" customWidth="1"/>
    <col min="6669" max="6669" width="16.3727272727273" style="93" customWidth="1"/>
    <col min="6670" max="6914" width="9" style="93"/>
    <col min="6915" max="6915" width="8" style="93" customWidth="1"/>
    <col min="6916" max="6916" width="11.3727272727273" style="93" customWidth="1"/>
    <col min="6917" max="6917" width="15.7545454545455" style="93" customWidth="1"/>
    <col min="6918" max="6919" width="16.6272727272727" style="93" customWidth="1"/>
    <col min="6920" max="6920" width="23.3727272727273" style="93" customWidth="1"/>
    <col min="6921" max="6922" width="21.3727272727273" style="93" customWidth="1"/>
    <col min="6923" max="6923" width="19.7545454545455" style="93" customWidth="1"/>
    <col min="6924" max="6924" width="17.1272727272727" style="93" customWidth="1"/>
    <col min="6925" max="6925" width="16.3727272727273" style="93" customWidth="1"/>
    <col min="6926" max="7170" width="9" style="93"/>
    <col min="7171" max="7171" width="8" style="93" customWidth="1"/>
    <col min="7172" max="7172" width="11.3727272727273" style="93" customWidth="1"/>
    <col min="7173" max="7173" width="15.7545454545455" style="93" customWidth="1"/>
    <col min="7174" max="7175" width="16.6272727272727" style="93" customWidth="1"/>
    <col min="7176" max="7176" width="23.3727272727273" style="93" customWidth="1"/>
    <col min="7177" max="7178" width="21.3727272727273" style="93" customWidth="1"/>
    <col min="7179" max="7179" width="19.7545454545455" style="93" customWidth="1"/>
    <col min="7180" max="7180" width="17.1272727272727" style="93" customWidth="1"/>
    <col min="7181" max="7181" width="16.3727272727273" style="93" customWidth="1"/>
    <col min="7182" max="7426" width="9" style="93"/>
    <col min="7427" max="7427" width="8" style="93" customWidth="1"/>
    <col min="7428" max="7428" width="11.3727272727273" style="93" customWidth="1"/>
    <col min="7429" max="7429" width="15.7545454545455" style="93" customWidth="1"/>
    <col min="7430" max="7431" width="16.6272727272727" style="93" customWidth="1"/>
    <col min="7432" max="7432" width="23.3727272727273" style="93" customWidth="1"/>
    <col min="7433" max="7434" width="21.3727272727273" style="93" customWidth="1"/>
    <col min="7435" max="7435" width="19.7545454545455" style="93" customWidth="1"/>
    <col min="7436" max="7436" width="17.1272727272727" style="93" customWidth="1"/>
    <col min="7437" max="7437" width="16.3727272727273" style="93" customWidth="1"/>
    <col min="7438" max="7682" width="9" style="93"/>
    <col min="7683" max="7683" width="8" style="93" customWidth="1"/>
    <col min="7684" max="7684" width="11.3727272727273" style="93" customWidth="1"/>
    <col min="7685" max="7685" width="15.7545454545455" style="93" customWidth="1"/>
    <col min="7686" max="7687" width="16.6272727272727" style="93" customWidth="1"/>
    <col min="7688" max="7688" width="23.3727272727273" style="93" customWidth="1"/>
    <col min="7689" max="7690" width="21.3727272727273" style="93" customWidth="1"/>
    <col min="7691" max="7691" width="19.7545454545455" style="93" customWidth="1"/>
    <col min="7692" max="7692" width="17.1272727272727" style="93" customWidth="1"/>
    <col min="7693" max="7693" width="16.3727272727273" style="93" customWidth="1"/>
    <col min="7694" max="7938" width="9" style="93"/>
    <col min="7939" max="7939" width="8" style="93" customWidth="1"/>
    <col min="7940" max="7940" width="11.3727272727273" style="93" customWidth="1"/>
    <col min="7941" max="7941" width="15.7545454545455" style="93" customWidth="1"/>
    <col min="7942" max="7943" width="16.6272727272727" style="93" customWidth="1"/>
    <col min="7944" max="7944" width="23.3727272727273" style="93" customWidth="1"/>
    <col min="7945" max="7946" width="21.3727272727273" style="93" customWidth="1"/>
    <col min="7947" max="7947" width="19.7545454545455" style="93" customWidth="1"/>
    <col min="7948" max="7948" width="17.1272727272727" style="93" customWidth="1"/>
    <col min="7949" max="7949" width="16.3727272727273" style="93" customWidth="1"/>
    <col min="7950" max="8194" width="9" style="93"/>
    <col min="8195" max="8195" width="8" style="93" customWidth="1"/>
    <col min="8196" max="8196" width="11.3727272727273" style="93" customWidth="1"/>
    <col min="8197" max="8197" width="15.7545454545455" style="93" customWidth="1"/>
    <col min="8198" max="8199" width="16.6272727272727" style="93" customWidth="1"/>
    <col min="8200" max="8200" width="23.3727272727273" style="93" customWidth="1"/>
    <col min="8201" max="8202" width="21.3727272727273" style="93" customWidth="1"/>
    <col min="8203" max="8203" width="19.7545454545455" style="93" customWidth="1"/>
    <col min="8204" max="8204" width="17.1272727272727" style="93" customWidth="1"/>
    <col min="8205" max="8205" width="16.3727272727273" style="93" customWidth="1"/>
    <col min="8206" max="8450" width="9" style="93"/>
    <col min="8451" max="8451" width="8" style="93" customWidth="1"/>
    <col min="8452" max="8452" width="11.3727272727273" style="93" customWidth="1"/>
    <col min="8453" max="8453" width="15.7545454545455" style="93" customWidth="1"/>
    <col min="8454" max="8455" width="16.6272727272727" style="93" customWidth="1"/>
    <col min="8456" max="8456" width="23.3727272727273" style="93" customWidth="1"/>
    <col min="8457" max="8458" width="21.3727272727273" style="93" customWidth="1"/>
    <col min="8459" max="8459" width="19.7545454545455" style="93" customWidth="1"/>
    <col min="8460" max="8460" width="17.1272727272727" style="93" customWidth="1"/>
    <col min="8461" max="8461" width="16.3727272727273" style="93" customWidth="1"/>
    <col min="8462" max="8706" width="9" style="93"/>
    <col min="8707" max="8707" width="8" style="93" customWidth="1"/>
    <col min="8708" max="8708" width="11.3727272727273" style="93" customWidth="1"/>
    <col min="8709" max="8709" width="15.7545454545455" style="93" customWidth="1"/>
    <col min="8710" max="8711" width="16.6272727272727" style="93" customWidth="1"/>
    <col min="8712" max="8712" width="23.3727272727273" style="93" customWidth="1"/>
    <col min="8713" max="8714" width="21.3727272727273" style="93" customWidth="1"/>
    <col min="8715" max="8715" width="19.7545454545455" style="93" customWidth="1"/>
    <col min="8716" max="8716" width="17.1272727272727" style="93" customWidth="1"/>
    <col min="8717" max="8717" width="16.3727272727273" style="93" customWidth="1"/>
    <col min="8718" max="8962" width="9" style="93"/>
    <col min="8963" max="8963" width="8" style="93" customWidth="1"/>
    <col min="8964" max="8964" width="11.3727272727273" style="93" customWidth="1"/>
    <col min="8965" max="8965" width="15.7545454545455" style="93" customWidth="1"/>
    <col min="8966" max="8967" width="16.6272727272727" style="93" customWidth="1"/>
    <col min="8968" max="8968" width="23.3727272727273" style="93" customWidth="1"/>
    <col min="8969" max="8970" width="21.3727272727273" style="93" customWidth="1"/>
    <col min="8971" max="8971" width="19.7545454545455" style="93" customWidth="1"/>
    <col min="8972" max="8972" width="17.1272727272727" style="93" customWidth="1"/>
    <col min="8973" max="8973" width="16.3727272727273" style="93" customWidth="1"/>
    <col min="8974" max="9218" width="9" style="93"/>
    <col min="9219" max="9219" width="8" style="93" customWidth="1"/>
    <col min="9220" max="9220" width="11.3727272727273" style="93" customWidth="1"/>
    <col min="9221" max="9221" width="15.7545454545455" style="93" customWidth="1"/>
    <col min="9222" max="9223" width="16.6272727272727" style="93" customWidth="1"/>
    <col min="9224" max="9224" width="23.3727272727273" style="93" customWidth="1"/>
    <col min="9225" max="9226" width="21.3727272727273" style="93" customWidth="1"/>
    <col min="9227" max="9227" width="19.7545454545455" style="93" customWidth="1"/>
    <col min="9228" max="9228" width="17.1272727272727" style="93" customWidth="1"/>
    <col min="9229" max="9229" width="16.3727272727273" style="93" customWidth="1"/>
    <col min="9230" max="9474" width="9" style="93"/>
    <col min="9475" max="9475" width="8" style="93" customWidth="1"/>
    <col min="9476" max="9476" width="11.3727272727273" style="93" customWidth="1"/>
    <col min="9477" max="9477" width="15.7545454545455" style="93" customWidth="1"/>
    <col min="9478" max="9479" width="16.6272727272727" style="93" customWidth="1"/>
    <col min="9480" max="9480" width="23.3727272727273" style="93" customWidth="1"/>
    <col min="9481" max="9482" width="21.3727272727273" style="93" customWidth="1"/>
    <col min="9483" max="9483" width="19.7545454545455" style="93" customWidth="1"/>
    <col min="9484" max="9484" width="17.1272727272727" style="93" customWidth="1"/>
    <col min="9485" max="9485" width="16.3727272727273" style="93" customWidth="1"/>
    <col min="9486" max="9730" width="9" style="93"/>
    <col min="9731" max="9731" width="8" style="93" customWidth="1"/>
    <col min="9732" max="9732" width="11.3727272727273" style="93" customWidth="1"/>
    <col min="9733" max="9733" width="15.7545454545455" style="93" customWidth="1"/>
    <col min="9734" max="9735" width="16.6272727272727" style="93" customWidth="1"/>
    <col min="9736" max="9736" width="23.3727272727273" style="93" customWidth="1"/>
    <col min="9737" max="9738" width="21.3727272727273" style="93" customWidth="1"/>
    <col min="9739" max="9739" width="19.7545454545455" style="93" customWidth="1"/>
    <col min="9740" max="9740" width="17.1272727272727" style="93" customWidth="1"/>
    <col min="9741" max="9741" width="16.3727272727273" style="93" customWidth="1"/>
    <col min="9742" max="9986" width="9" style="93"/>
    <col min="9987" max="9987" width="8" style="93" customWidth="1"/>
    <col min="9988" max="9988" width="11.3727272727273" style="93" customWidth="1"/>
    <col min="9989" max="9989" width="15.7545454545455" style="93" customWidth="1"/>
    <col min="9990" max="9991" width="16.6272727272727" style="93" customWidth="1"/>
    <col min="9992" max="9992" width="23.3727272727273" style="93" customWidth="1"/>
    <col min="9993" max="9994" width="21.3727272727273" style="93" customWidth="1"/>
    <col min="9995" max="9995" width="19.7545454545455" style="93" customWidth="1"/>
    <col min="9996" max="9996" width="17.1272727272727" style="93" customWidth="1"/>
    <col min="9997" max="9997" width="16.3727272727273" style="93" customWidth="1"/>
    <col min="9998" max="10242" width="9" style="93"/>
    <col min="10243" max="10243" width="8" style="93" customWidth="1"/>
    <col min="10244" max="10244" width="11.3727272727273" style="93" customWidth="1"/>
    <col min="10245" max="10245" width="15.7545454545455" style="93" customWidth="1"/>
    <col min="10246" max="10247" width="16.6272727272727" style="93" customWidth="1"/>
    <col min="10248" max="10248" width="23.3727272727273" style="93" customWidth="1"/>
    <col min="10249" max="10250" width="21.3727272727273" style="93" customWidth="1"/>
    <col min="10251" max="10251" width="19.7545454545455" style="93" customWidth="1"/>
    <col min="10252" max="10252" width="17.1272727272727" style="93" customWidth="1"/>
    <col min="10253" max="10253" width="16.3727272727273" style="93" customWidth="1"/>
    <col min="10254" max="10498" width="9" style="93"/>
    <col min="10499" max="10499" width="8" style="93" customWidth="1"/>
    <col min="10500" max="10500" width="11.3727272727273" style="93" customWidth="1"/>
    <col min="10501" max="10501" width="15.7545454545455" style="93" customWidth="1"/>
    <col min="10502" max="10503" width="16.6272727272727" style="93" customWidth="1"/>
    <col min="10504" max="10504" width="23.3727272727273" style="93" customWidth="1"/>
    <col min="10505" max="10506" width="21.3727272727273" style="93" customWidth="1"/>
    <col min="10507" max="10507" width="19.7545454545455" style="93" customWidth="1"/>
    <col min="10508" max="10508" width="17.1272727272727" style="93" customWidth="1"/>
    <col min="10509" max="10509" width="16.3727272727273" style="93" customWidth="1"/>
    <col min="10510" max="10754" width="9" style="93"/>
    <col min="10755" max="10755" width="8" style="93" customWidth="1"/>
    <col min="10756" max="10756" width="11.3727272727273" style="93" customWidth="1"/>
    <col min="10757" max="10757" width="15.7545454545455" style="93" customWidth="1"/>
    <col min="10758" max="10759" width="16.6272727272727" style="93" customWidth="1"/>
    <col min="10760" max="10760" width="23.3727272727273" style="93" customWidth="1"/>
    <col min="10761" max="10762" width="21.3727272727273" style="93" customWidth="1"/>
    <col min="10763" max="10763" width="19.7545454545455" style="93" customWidth="1"/>
    <col min="10764" max="10764" width="17.1272727272727" style="93" customWidth="1"/>
    <col min="10765" max="10765" width="16.3727272727273" style="93" customWidth="1"/>
    <col min="10766" max="11010" width="9" style="93"/>
    <col min="11011" max="11011" width="8" style="93" customWidth="1"/>
    <col min="11012" max="11012" width="11.3727272727273" style="93" customWidth="1"/>
    <col min="11013" max="11013" width="15.7545454545455" style="93" customWidth="1"/>
    <col min="11014" max="11015" width="16.6272727272727" style="93" customWidth="1"/>
    <col min="11016" max="11016" width="23.3727272727273" style="93" customWidth="1"/>
    <col min="11017" max="11018" width="21.3727272727273" style="93" customWidth="1"/>
    <col min="11019" max="11019" width="19.7545454545455" style="93" customWidth="1"/>
    <col min="11020" max="11020" width="17.1272727272727" style="93" customWidth="1"/>
    <col min="11021" max="11021" width="16.3727272727273" style="93" customWidth="1"/>
    <col min="11022" max="11266" width="9" style="93"/>
    <col min="11267" max="11267" width="8" style="93" customWidth="1"/>
    <col min="11268" max="11268" width="11.3727272727273" style="93" customWidth="1"/>
    <col min="11269" max="11269" width="15.7545454545455" style="93" customWidth="1"/>
    <col min="11270" max="11271" width="16.6272727272727" style="93" customWidth="1"/>
    <col min="11272" max="11272" width="23.3727272727273" style="93" customWidth="1"/>
    <col min="11273" max="11274" width="21.3727272727273" style="93" customWidth="1"/>
    <col min="11275" max="11275" width="19.7545454545455" style="93" customWidth="1"/>
    <col min="11276" max="11276" width="17.1272727272727" style="93" customWidth="1"/>
    <col min="11277" max="11277" width="16.3727272727273" style="93" customWidth="1"/>
    <col min="11278" max="11522" width="9" style="93"/>
    <col min="11523" max="11523" width="8" style="93" customWidth="1"/>
    <col min="11524" max="11524" width="11.3727272727273" style="93" customWidth="1"/>
    <col min="11525" max="11525" width="15.7545454545455" style="93" customWidth="1"/>
    <col min="11526" max="11527" width="16.6272727272727" style="93" customWidth="1"/>
    <col min="11528" max="11528" width="23.3727272727273" style="93" customWidth="1"/>
    <col min="11529" max="11530" width="21.3727272727273" style="93" customWidth="1"/>
    <col min="11531" max="11531" width="19.7545454545455" style="93" customWidth="1"/>
    <col min="11532" max="11532" width="17.1272727272727" style="93" customWidth="1"/>
    <col min="11533" max="11533" width="16.3727272727273" style="93" customWidth="1"/>
    <col min="11534" max="11778" width="9" style="93"/>
    <col min="11779" max="11779" width="8" style="93" customWidth="1"/>
    <col min="11780" max="11780" width="11.3727272727273" style="93" customWidth="1"/>
    <col min="11781" max="11781" width="15.7545454545455" style="93" customWidth="1"/>
    <col min="11782" max="11783" width="16.6272727272727" style="93" customWidth="1"/>
    <col min="11784" max="11784" width="23.3727272727273" style="93" customWidth="1"/>
    <col min="11785" max="11786" width="21.3727272727273" style="93" customWidth="1"/>
    <col min="11787" max="11787" width="19.7545454545455" style="93" customWidth="1"/>
    <col min="11788" max="11788" width="17.1272727272727" style="93" customWidth="1"/>
    <col min="11789" max="11789" width="16.3727272727273" style="93" customWidth="1"/>
    <col min="11790" max="12034" width="9" style="93"/>
    <col min="12035" max="12035" width="8" style="93" customWidth="1"/>
    <col min="12036" max="12036" width="11.3727272727273" style="93" customWidth="1"/>
    <col min="12037" max="12037" width="15.7545454545455" style="93" customWidth="1"/>
    <col min="12038" max="12039" width="16.6272727272727" style="93" customWidth="1"/>
    <col min="12040" max="12040" width="23.3727272727273" style="93" customWidth="1"/>
    <col min="12041" max="12042" width="21.3727272727273" style="93" customWidth="1"/>
    <col min="12043" max="12043" width="19.7545454545455" style="93" customWidth="1"/>
    <col min="12044" max="12044" width="17.1272727272727" style="93" customWidth="1"/>
    <col min="12045" max="12045" width="16.3727272727273" style="93" customWidth="1"/>
    <col min="12046" max="12290" width="9" style="93"/>
    <col min="12291" max="12291" width="8" style="93" customWidth="1"/>
    <col min="12292" max="12292" width="11.3727272727273" style="93" customWidth="1"/>
    <col min="12293" max="12293" width="15.7545454545455" style="93" customWidth="1"/>
    <col min="12294" max="12295" width="16.6272727272727" style="93" customWidth="1"/>
    <col min="12296" max="12296" width="23.3727272727273" style="93" customWidth="1"/>
    <col min="12297" max="12298" width="21.3727272727273" style="93" customWidth="1"/>
    <col min="12299" max="12299" width="19.7545454545455" style="93" customWidth="1"/>
    <col min="12300" max="12300" width="17.1272727272727" style="93" customWidth="1"/>
    <col min="12301" max="12301" width="16.3727272727273" style="93" customWidth="1"/>
    <col min="12302" max="12546" width="9" style="93"/>
    <col min="12547" max="12547" width="8" style="93" customWidth="1"/>
    <col min="12548" max="12548" width="11.3727272727273" style="93" customWidth="1"/>
    <col min="12549" max="12549" width="15.7545454545455" style="93" customWidth="1"/>
    <col min="12550" max="12551" width="16.6272727272727" style="93" customWidth="1"/>
    <col min="12552" max="12552" width="23.3727272727273" style="93" customWidth="1"/>
    <col min="12553" max="12554" width="21.3727272727273" style="93" customWidth="1"/>
    <col min="12555" max="12555" width="19.7545454545455" style="93" customWidth="1"/>
    <col min="12556" max="12556" width="17.1272727272727" style="93" customWidth="1"/>
    <col min="12557" max="12557" width="16.3727272727273" style="93" customWidth="1"/>
    <col min="12558" max="12802" width="9" style="93"/>
    <col min="12803" max="12803" width="8" style="93" customWidth="1"/>
    <col min="12804" max="12804" width="11.3727272727273" style="93" customWidth="1"/>
    <col min="12805" max="12805" width="15.7545454545455" style="93" customWidth="1"/>
    <col min="12806" max="12807" width="16.6272727272727" style="93" customWidth="1"/>
    <col min="12808" max="12808" width="23.3727272727273" style="93" customWidth="1"/>
    <col min="12809" max="12810" width="21.3727272727273" style="93" customWidth="1"/>
    <col min="12811" max="12811" width="19.7545454545455" style="93" customWidth="1"/>
    <col min="12812" max="12812" width="17.1272727272727" style="93" customWidth="1"/>
    <col min="12813" max="12813" width="16.3727272727273" style="93" customWidth="1"/>
    <col min="12814" max="13058" width="9" style="93"/>
    <col min="13059" max="13059" width="8" style="93" customWidth="1"/>
    <col min="13060" max="13060" width="11.3727272727273" style="93" customWidth="1"/>
    <col min="13061" max="13061" width="15.7545454545455" style="93" customWidth="1"/>
    <col min="13062" max="13063" width="16.6272727272727" style="93" customWidth="1"/>
    <col min="13064" max="13064" width="23.3727272727273" style="93" customWidth="1"/>
    <col min="13065" max="13066" width="21.3727272727273" style="93" customWidth="1"/>
    <col min="13067" max="13067" width="19.7545454545455" style="93" customWidth="1"/>
    <col min="13068" max="13068" width="17.1272727272727" style="93" customWidth="1"/>
    <col min="13069" max="13069" width="16.3727272727273" style="93" customWidth="1"/>
    <col min="13070" max="13314" width="9" style="93"/>
    <col min="13315" max="13315" width="8" style="93" customWidth="1"/>
    <col min="13316" max="13316" width="11.3727272727273" style="93" customWidth="1"/>
    <col min="13317" max="13317" width="15.7545454545455" style="93" customWidth="1"/>
    <col min="13318" max="13319" width="16.6272727272727" style="93" customWidth="1"/>
    <col min="13320" max="13320" width="23.3727272727273" style="93" customWidth="1"/>
    <col min="13321" max="13322" width="21.3727272727273" style="93" customWidth="1"/>
    <col min="13323" max="13323" width="19.7545454545455" style="93" customWidth="1"/>
    <col min="13324" max="13324" width="17.1272727272727" style="93" customWidth="1"/>
    <col min="13325" max="13325" width="16.3727272727273" style="93" customWidth="1"/>
    <col min="13326" max="13570" width="9" style="93"/>
    <col min="13571" max="13571" width="8" style="93" customWidth="1"/>
    <col min="13572" max="13572" width="11.3727272727273" style="93" customWidth="1"/>
    <col min="13573" max="13573" width="15.7545454545455" style="93" customWidth="1"/>
    <col min="13574" max="13575" width="16.6272727272727" style="93" customWidth="1"/>
    <col min="13576" max="13576" width="23.3727272727273" style="93" customWidth="1"/>
    <col min="13577" max="13578" width="21.3727272727273" style="93" customWidth="1"/>
    <col min="13579" max="13579" width="19.7545454545455" style="93" customWidth="1"/>
    <col min="13580" max="13580" width="17.1272727272727" style="93" customWidth="1"/>
    <col min="13581" max="13581" width="16.3727272727273" style="93" customWidth="1"/>
    <col min="13582" max="13826" width="9" style="93"/>
    <col min="13827" max="13827" width="8" style="93" customWidth="1"/>
    <col min="13828" max="13828" width="11.3727272727273" style="93" customWidth="1"/>
    <col min="13829" max="13829" width="15.7545454545455" style="93" customWidth="1"/>
    <col min="13830" max="13831" width="16.6272727272727" style="93" customWidth="1"/>
    <col min="13832" max="13832" width="23.3727272727273" style="93" customWidth="1"/>
    <col min="13833" max="13834" width="21.3727272727273" style="93" customWidth="1"/>
    <col min="13835" max="13835" width="19.7545454545455" style="93" customWidth="1"/>
    <col min="13836" max="13836" width="17.1272727272727" style="93" customWidth="1"/>
    <col min="13837" max="13837" width="16.3727272727273" style="93" customWidth="1"/>
    <col min="13838" max="14082" width="9" style="93"/>
    <col min="14083" max="14083" width="8" style="93" customWidth="1"/>
    <col min="14084" max="14084" width="11.3727272727273" style="93" customWidth="1"/>
    <col min="14085" max="14085" width="15.7545454545455" style="93" customWidth="1"/>
    <col min="14086" max="14087" width="16.6272727272727" style="93" customWidth="1"/>
    <col min="14088" max="14088" width="23.3727272727273" style="93" customWidth="1"/>
    <col min="14089" max="14090" width="21.3727272727273" style="93" customWidth="1"/>
    <col min="14091" max="14091" width="19.7545454545455" style="93" customWidth="1"/>
    <col min="14092" max="14092" width="17.1272727272727" style="93" customWidth="1"/>
    <col min="14093" max="14093" width="16.3727272727273" style="93" customWidth="1"/>
    <col min="14094" max="14338" width="9" style="93"/>
    <col min="14339" max="14339" width="8" style="93" customWidth="1"/>
    <col min="14340" max="14340" width="11.3727272727273" style="93" customWidth="1"/>
    <col min="14341" max="14341" width="15.7545454545455" style="93" customWidth="1"/>
    <col min="14342" max="14343" width="16.6272727272727" style="93" customWidth="1"/>
    <col min="14344" max="14344" width="23.3727272727273" style="93" customWidth="1"/>
    <col min="14345" max="14346" width="21.3727272727273" style="93" customWidth="1"/>
    <col min="14347" max="14347" width="19.7545454545455" style="93" customWidth="1"/>
    <col min="14348" max="14348" width="17.1272727272727" style="93" customWidth="1"/>
    <col min="14349" max="14349" width="16.3727272727273" style="93" customWidth="1"/>
    <col min="14350" max="14594" width="9" style="93"/>
    <col min="14595" max="14595" width="8" style="93" customWidth="1"/>
    <col min="14596" max="14596" width="11.3727272727273" style="93" customWidth="1"/>
    <col min="14597" max="14597" width="15.7545454545455" style="93" customWidth="1"/>
    <col min="14598" max="14599" width="16.6272727272727" style="93" customWidth="1"/>
    <col min="14600" max="14600" width="23.3727272727273" style="93" customWidth="1"/>
    <col min="14601" max="14602" width="21.3727272727273" style="93" customWidth="1"/>
    <col min="14603" max="14603" width="19.7545454545455" style="93" customWidth="1"/>
    <col min="14604" max="14604" width="17.1272727272727" style="93" customWidth="1"/>
    <col min="14605" max="14605" width="16.3727272727273" style="93" customWidth="1"/>
    <col min="14606" max="14850" width="9" style="93"/>
    <col min="14851" max="14851" width="8" style="93" customWidth="1"/>
    <col min="14852" max="14852" width="11.3727272727273" style="93" customWidth="1"/>
    <col min="14853" max="14853" width="15.7545454545455" style="93" customWidth="1"/>
    <col min="14854" max="14855" width="16.6272727272727" style="93" customWidth="1"/>
    <col min="14856" max="14856" width="23.3727272727273" style="93" customWidth="1"/>
    <col min="14857" max="14858" width="21.3727272727273" style="93" customWidth="1"/>
    <col min="14859" max="14859" width="19.7545454545455" style="93" customWidth="1"/>
    <col min="14860" max="14860" width="17.1272727272727" style="93" customWidth="1"/>
    <col min="14861" max="14861" width="16.3727272727273" style="93" customWidth="1"/>
    <col min="14862" max="15106" width="9" style="93"/>
    <col min="15107" max="15107" width="8" style="93" customWidth="1"/>
    <col min="15108" max="15108" width="11.3727272727273" style="93" customWidth="1"/>
    <col min="15109" max="15109" width="15.7545454545455" style="93" customWidth="1"/>
    <col min="15110" max="15111" width="16.6272727272727" style="93" customWidth="1"/>
    <col min="15112" max="15112" width="23.3727272727273" style="93" customWidth="1"/>
    <col min="15113" max="15114" width="21.3727272727273" style="93" customWidth="1"/>
    <col min="15115" max="15115" width="19.7545454545455" style="93" customWidth="1"/>
    <col min="15116" max="15116" width="17.1272727272727" style="93" customWidth="1"/>
    <col min="15117" max="15117" width="16.3727272727273" style="93" customWidth="1"/>
    <col min="15118" max="15362" width="9" style="93"/>
    <col min="15363" max="15363" width="8" style="93" customWidth="1"/>
    <col min="15364" max="15364" width="11.3727272727273" style="93" customWidth="1"/>
    <col min="15365" max="15365" width="15.7545454545455" style="93" customWidth="1"/>
    <col min="15366" max="15367" width="16.6272727272727" style="93" customWidth="1"/>
    <col min="15368" max="15368" width="23.3727272727273" style="93" customWidth="1"/>
    <col min="15369" max="15370" width="21.3727272727273" style="93" customWidth="1"/>
    <col min="15371" max="15371" width="19.7545454545455" style="93" customWidth="1"/>
    <col min="15372" max="15372" width="17.1272727272727" style="93" customWidth="1"/>
    <col min="15373" max="15373" width="16.3727272727273" style="93" customWidth="1"/>
    <col min="15374" max="15618" width="9" style="93"/>
    <col min="15619" max="15619" width="8" style="93" customWidth="1"/>
    <col min="15620" max="15620" width="11.3727272727273" style="93" customWidth="1"/>
    <col min="15621" max="15621" width="15.7545454545455" style="93" customWidth="1"/>
    <col min="15622" max="15623" width="16.6272727272727" style="93" customWidth="1"/>
    <col min="15624" max="15624" width="23.3727272727273" style="93" customWidth="1"/>
    <col min="15625" max="15626" width="21.3727272727273" style="93" customWidth="1"/>
    <col min="15627" max="15627" width="19.7545454545455" style="93" customWidth="1"/>
    <col min="15628" max="15628" width="17.1272727272727" style="93" customWidth="1"/>
    <col min="15629" max="15629" width="16.3727272727273" style="93" customWidth="1"/>
    <col min="15630" max="15874" width="9" style="93"/>
    <col min="15875" max="15875" width="8" style="93" customWidth="1"/>
    <col min="15876" max="15876" width="11.3727272727273" style="93" customWidth="1"/>
    <col min="15877" max="15877" width="15.7545454545455" style="93" customWidth="1"/>
    <col min="15878" max="15879" width="16.6272727272727" style="93" customWidth="1"/>
    <col min="15880" max="15880" width="23.3727272727273" style="93" customWidth="1"/>
    <col min="15881" max="15882" width="21.3727272727273" style="93" customWidth="1"/>
    <col min="15883" max="15883" width="19.7545454545455" style="93" customWidth="1"/>
    <col min="15884" max="15884" width="17.1272727272727" style="93" customWidth="1"/>
    <col min="15885" max="15885" width="16.3727272727273" style="93" customWidth="1"/>
    <col min="15886" max="16130" width="9" style="93"/>
    <col min="16131" max="16131" width="8" style="93" customWidth="1"/>
    <col min="16132" max="16132" width="11.3727272727273" style="93" customWidth="1"/>
    <col min="16133" max="16133" width="15.7545454545455" style="93" customWidth="1"/>
    <col min="16134" max="16135" width="16.6272727272727" style="93" customWidth="1"/>
    <col min="16136" max="16136" width="23.3727272727273" style="93" customWidth="1"/>
    <col min="16137" max="16138" width="21.3727272727273" style="93" customWidth="1"/>
    <col min="16139" max="16139" width="19.7545454545455" style="93" customWidth="1"/>
    <col min="16140" max="16140" width="17.1272727272727" style="93" customWidth="1"/>
    <col min="16141" max="16141" width="16.3727272727273" style="93" customWidth="1"/>
    <col min="16142" max="16384" width="9" style="93"/>
  </cols>
  <sheetData>
    <row r="1" ht="17.65" spans="1:15">
      <c r="A1" s="94" t="s">
        <v>0</v>
      </c>
      <c r="B1" s="94" t="s">
        <v>1</v>
      </c>
      <c r="C1" s="94" t="s">
        <v>1</v>
      </c>
      <c r="D1" s="94" t="s">
        <v>1</v>
      </c>
      <c r="E1" s="94"/>
      <c r="F1" s="94" t="s">
        <v>1</v>
      </c>
      <c r="G1" s="94" t="s">
        <v>1</v>
      </c>
      <c r="H1" s="94"/>
      <c r="I1" s="94"/>
      <c r="J1" s="94"/>
      <c r="K1" s="94"/>
      <c r="L1" s="94" t="s">
        <v>1</v>
      </c>
      <c r="M1" s="95" t="s">
        <v>2</v>
      </c>
    </row>
    <row r="2" ht="14.65" spans="1:15">
      <c r="A2" s="96" t="s">
        <v>3</v>
      </c>
      <c r="B2" s="97"/>
      <c r="C2" s="98"/>
      <c r="D2" s="99" t="s">
        <v>1</v>
      </c>
      <c r="E2" s="98"/>
      <c r="F2" s="96" t="s">
        <v>1</v>
      </c>
      <c r="G2" s="100" t="s">
        <v>4</v>
      </c>
      <c r="H2" s="100"/>
      <c r="I2" s="100"/>
      <c r="J2" s="100"/>
      <c r="K2" s="96"/>
      <c r="L2" s="96" t="s">
        <v>1</v>
      </c>
      <c r="M2" s="95"/>
    </row>
    <row r="3" ht="14.6" spans="1:15">
      <c r="A3" s="96" t="s">
        <v>5</v>
      </c>
      <c r="B3" s="96" t="s">
        <v>1</v>
      </c>
      <c r="C3" s="98"/>
      <c r="D3" s="99" t="s">
        <v>1</v>
      </c>
      <c r="E3" s="98"/>
      <c r="F3" s="96"/>
      <c r="G3" s="96" t="s">
        <v>1</v>
      </c>
      <c r="H3" s="96"/>
      <c r="I3" s="96"/>
      <c r="J3" s="96"/>
      <c r="K3" s="96"/>
      <c r="L3" s="96"/>
      <c r="M3" s="95"/>
    </row>
    <row r="4" ht="14.6" spans="1:15">
      <c r="A4" s="101" t="s">
        <v>6</v>
      </c>
      <c r="B4" s="102" t="s">
        <v>7</v>
      </c>
      <c r="C4" s="103"/>
      <c r="D4" s="104"/>
      <c r="E4" s="103"/>
      <c r="F4" s="101"/>
      <c r="G4" s="105"/>
      <c r="H4" s="105"/>
      <c r="I4" s="105"/>
      <c r="J4" s="105"/>
      <c r="K4" s="106"/>
      <c r="L4" s="101"/>
      <c r="M4" s="95"/>
    </row>
    <row r="5" ht="14.6" spans="1:15">
      <c r="A5" s="107" t="s">
        <v>8</v>
      </c>
      <c r="B5" s="107" t="s">
        <v>1</v>
      </c>
      <c r="C5" s="108" t="s">
        <v>1</v>
      </c>
      <c r="D5" s="109" t="s">
        <v>1</v>
      </c>
      <c r="E5" s="108"/>
      <c r="F5" s="107" t="s">
        <v>1</v>
      </c>
      <c r="G5" s="110" t="s">
        <v>1</v>
      </c>
      <c r="H5" s="110"/>
      <c r="I5" s="110"/>
      <c r="J5" s="110"/>
      <c r="K5" s="110"/>
      <c r="L5" s="110" t="s">
        <v>1</v>
      </c>
      <c r="M5" s="95"/>
    </row>
    <row r="6" s="86" customFormat="1" ht="14.05" spans="1:15">
      <c r="A6" s="111" t="s">
        <v>9</v>
      </c>
      <c r="B6" s="112" t="s">
        <v>10</v>
      </c>
      <c r="C6" s="111" t="s">
        <v>11</v>
      </c>
      <c r="D6" s="111" t="s">
        <v>12</v>
      </c>
      <c r="E6" s="113" t="s">
        <v>13</v>
      </c>
      <c r="F6" s="114"/>
      <c r="G6" s="115" t="s">
        <v>14</v>
      </c>
      <c r="H6" s="115" t="s">
        <v>15</v>
      </c>
      <c r="I6" s="115" t="s">
        <v>16</v>
      </c>
      <c r="J6" s="116" t="s">
        <v>17</v>
      </c>
      <c r="K6" s="117"/>
      <c r="L6" s="118" t="s">
        <v>18</v>
      </c>
      <c r="M6" s="119" t="s">
        <v>19</v>
      </c>
    </row>
    <row r="7" ht="14.05" spans="1:15">
      <c r="A7" s="120">
        <v>1</v>
      </c>
      <c r="B7" s="121" t="s">
        <v>20</v>
      </c>
      <c r="C7" s="122" t="s">
        <v>21</v>
      </c>
      <c r="D7" s="123" t="s">
        <v>22</v>
      </c>
      <c r="E7" s="124" t="s">
        <v>23</v>
      </c>
      <c r="F7" s="125"/>
      <c r="G7" s="126">
        <v>460000</v>
      </c>
      <c r="H7" s="127">
        <v>0.06</v>
      </c>
      <c r="I7" s="128">
        <f>G7/(1+H7)</f>
        <v>433962.264150943</v>
      </c>
      <c r="J7" s="129"/>
      <c r="K7" s="130"/>
      <c r="L7" s="131" t="s">
        <v>24</v>
      </c>
      <c r="M7" s="119">
        <f>G7/(1+H7)*H7</f>
        <v>26037.7358490566</v>
      </c>
    </row>
    <row r="8" ht="14.05" spans="1:15">
      <c r="A8" s="132"/>
      <c r="B8" s="133"/>
      <c r="C8" s="134"/>
      <c r="D8" s="135"/>
      <c r="E8" s="136"/>
      <c r="F8" s="137"/>
      <c r="G8" s="126"/>
      <c r="H8" s="127">
        <v>0.13</v>
      </c>
      <c r="I8" s="128">
        <f t="shared" ref="I8:I9" si="0">G8/(1+H8)</f>
        <v>0</v>
      </c>
      <c r="J8" s="129"/>
      <c r="K8" s="130"/>
      <c r="L8" s="131" t="s">
        <v>25</v>
      </c>
      <c r="M8" s="119">
        <f>G8/(1+H8)*H8</f>
        <v>0</v>
      </c>
    </row>
    <row r="9" ht="14.05" spans="1:15">
      <c r="A9" s="132"/>
      <c r="B9" s="133"/>
      <c r="C9" s="134"/>
      <c r="D9" s="135"/>
      <c r="E9" s="136"/>
      <c r="F9" s="137"/>
      <c r="G9" s="138"/>
      <c r="H9" s="127">
        <v>0.09</v>
      </c>
      <c r="I9" s="128">
        <f t="shared" si="0"/>
        <v>0</v>
      </c>
      <c r="J9" s="129"/>
      <c r="K9" s="130"/>
      <c r="L9" s="131" t="s">
        <v>26</v>
      </c>
      <c r="M9" s="119">
        <f>G9/(1+H9)*H9</f>
        <v>0</v>
      </c>
    </row>
    <row r="10" ht="14.6" spans="1:15">
      <c r="A10" s="139" t="s">
        <v>27</v>
      </c>
      <c r="B10" s="139" t="s">
        <v>1</v>
      </c>
      <c r="C10" s="140" t="s">
        <v>1</v>
      </c>
      <c r="D10" s="139" t="s">
        <v>1</v>
      </c>
      <c r="E10" s="141"/>
      <c r="F10" s="142" t="s">
        <v>1</v>
      </c>
      <c r="G10" s="143">
        <f>SUM(G7:G9)</f>
        <v>460000</v>
      </c>
      <c r="H10" s="144"/>
      <c r="I10" s="145">
        <f>SUM(I7:I9)</f>
        <v>433962.264150943</v>
      </c>
      <c r="J10" s="146" t="s">
        <v>1</v>
      </c>
      <c r="K10" s="147"/>
      <c r="L10" s="148"/>
      <c r="M10" s="149">
        <f>SUM(M7:M9)</f>
        <v>26037.7358490566</v>
      </c>
    </row>
    <row r="11" ht="14.6" spans="1:15">
      <c r="A11" s="150" t="s">
        <v>28</v>
      </c>
      <c r="B11" s="107" t="s">
        <v>1</v>
      </c>
      <c r="C11" s="108" t="s">
        <v>1</v>
      </c>
      <c r="D11" s="109" t="s">
        <v>1</v>
      </c>
      <c r="E11" s="108"/>
      <c r="F11" s="107" t="s">
        <v>1</v>
      </c>
      <c r="G11" s="151" t="s">
        <v>1</v>
      </c>
      <c r="H11" s="151"/>
      <c r="I11" s="151"/>
      <c r="J11" s="151"/>
      <c r="K11" s="151"/>
      <c r="L11" s="151" t="s">
        <v>1</v>
      </c>
      <c r="M11" s="95"/>
    </row>
    <row r="12" s="86" customFormat="1" ht="20.1" customHeight="1" spans="1:15">
      <c r="A12" s="132" t="s">
        <v>9</v>
      </c>
      <c r="B12" s="133" t="s">
        <v>10</v>
      </c>
      <c r="C12" s="132" t="s">
        <v>29</v>
      </c>
      <c r="D12" s="132" t="s">
        <v>30</v>
      </c>
      <c r="E12" s="132" t="s">
        <v>31</v>
      </c>
      <c r="F12" s="132" t="s">
        <v>13</v>
      </c>
      <c r="G12" s="115" t="s">
        <v>14</v>
      </c>
      <c r="H12" s="115" t="s">
        <v>15</v>
      </c>
      <c r="I12" s="115" t="s">
        <v>16</v>
      </c>
      <c r="J12" s="152" t="s">
        <v>32</v>
      </c>
      <c r="K12" s="132" t="s">
        <v>17</v>
      </c>
      <c r="L12" s="132" t="s">
        <v>18</v>
      </c>
      <c r="M12" s="95" t="s">
        <v>33</v>
      </c>
    </row>
    <row r="13" ht="14.05" spans="1:15">
      <c r="A13" s="118"/>
      <c r="B13" s="153"/>
      <c r="C13" s="154" t="s">
        <v>34</v>
      </c>
      <c r="D13" s="154" t="s">
        <v>22</v>
      </c>
      <c r="E13" s="155">
        <v>1</v>
      </c>
      <c r="F13" s="118" t="s">
        <v>23</v>
      </c>
      <c r="G13" s="156">
        <v>401580</v>
      </c>
      <c r="H13" s="127">
        <v>0.03</v>
      </c>
      <c r="I13" s="128">
        <f>G13/(1+H13)</f>
        <v>389883.495145631</v>
      </c>
      <c r="J13" s="157"/>
      <c r="K13" s="158"/>
      <c r="L13" s="159" t="s">
        <v>35</v>
      </c>
      <c r="M13" s="119">
        <f>G13/(1+H13)*H13</f>
        <v>11696.5048543689</v>
      </c>
    </row>
    <row r="14" ht="14.05" spans="1:15">
      <c r="A14" s="118"/>
      <c r="B14" s="153"/>
      <c r="C14" s="154"/>
      <c r="D14" s="154"/>
      <c r="E14" s="155"/>
      <c r="F14" s="118"/>
      <c r="G14" s="156"/>
      <c r="H14" s="127">
        <v>0.09</v>
      </c>
      <c r="I14" s="128">
        <f t="shared" ref="I14:I30" si="1">G14/(1+H14)</f>
        <v>0</v>
      </c>
      <c r="J14" s="157"/>
      <c r="K14" s="158"/>
      <c r="L14" s="159" t="s">
        <v>35</v>
      </c>
      <c r="M14" s="119">
        <f>G14/(1+H14)*H14</f>
        <v>0</v>
      </c>
    </row>
    <row r="15" ht="14.05" spans="1:15">
      <c r="A15" s="118"/>
      <c r="B15" s="153"/>
      <c r="C15" s="154"/>
      <c r="D15" s="154"/>
      <c r="E15" s="155"/>
      <c r="F15" s="118"/>
      <c r="G15" s="156"/>
      <c r="H15" s="127">
        <v>0.03</v>
      </c>
      <c r="I15" s="128">
        <f t="shared" si="1"/>
        <v>0</v>
      </c>
      <c r="J15" s="157"/>
      <c r="K15" s="158"/>
      <c r="L15" s="159" t="s">
        <v>35</v>
      </c>
      <c r="M15" s="119">
        <f t="shared" ref="M15:M30" si="2">G15/(1+H15)*H15</f>
        <v>0</v>
      </c>
    </row>
    <row r="16" ht="14.05" spans="1:15">
      <c r="A16" s="118"/>
      <c r="B16" s="153"/>
      <c r="C16" s="154"/>
      <c r="D16" s="154"/>
      <c r="E16" s="155"/>
      <c r="F16" s="118"/>
      <c r="G16" s="156"/>
      <c r="H16" s="127">
        <v>0.06</v>
      </c>
      <c r="I16" s="128">
        <f t="shared" si="1"/>
        <v>0</v>
      </c>
      <c r="J16" s="157"/>
      <c r="K16" s="158"/>
      <c r="L16" s="159" t="s">
        <v>35</v>
      </c>
      <c r="M16" s="119">
        <f t="shared" si="2"/>
        <v>0</v>
      </c>
      <c r="O16" s="160"/>
    </row>
    <row r="17" ht="14.05" spans="1:15">
      <c r="A17" s="118"/>
      <c r="B17" s="153"/>
      <c r="C17" s="154"/>
      <c r="D17" s="154"/>
      <c r="E17" s="155"/>
      <c r="F17" s="118"/>
      <c r="G17" s="156"/>
      <c r="H17" s="127">
        <v>0.09</v>
      </c>
      <c r="I17" s="128">
        <f t="shared" si="1"/>
        <v>0</v>
      </c>
      <c r="J17" s="157"/>
      <c r="K17" s="158"/>
      <c r="L17" s="159" t="s">
        <v>35</v>
      </c>
      <c r="M17" s="119">
        <f t="shared" si="2"/>
        <v>0</v>
      </c>
      <c r="O17" s="161"/>
    </row>
    <row r="18" ht="14.05" spans="1:15">
      <c r="A18" s="118"/>
      <c r="B18" s="153"/>
      <c r="C18" s="154"/>
      <c r="D18" s="154"/>
      <c r="E18" s="155"/>
      <c r="F18" s="118"/>
      <c r="G18" s="156"/>
      <c r="H18" s="127">
        <v>0.13</v>
      </c>
      <c r="I18" s="128">
        <f t="shared" si="1"/>
        <v>0</v>
      </c>
      <c r="J18" s="157"/>
      <c r="K18" s="158"/>
      <c r="L18" s="159" t="s">
        <v>35</v>
      </c>
      <c r="M18" s="119">
        <f t="shared" si="2"/>
        <v>0</v>
      </c>
      <c r="O18" s="160"/>
    </row>
    <row r="19" ht="14.05" spans="1:15">
      <c r="A19" s="118"/>
      <c r="B19" s="153"/>
      <c r="C19" s="154"/>
      <c r="D19" s="154"/>
      <c r="E19" s="155"/>
      <c r="F19" s="118"/>
      <c r="G19" s="156"/>
      <c r="H19" s="127"/>
      <c r="I19" s="128">
        <f t="shared" si="1"/>
        <v>0</v>
      </c>
      <c r="J19" s="157"/>
      <c r="K19" s="158"/>
      <c r="L19" s="159" t="s">
        <v>35</v>
      </c>
      <c r="M19" s="119">
        <f t="shared" si="2"/>
        <v>0</v>
      </c>
    </row>
    <row r="20" ht="14.05" spans="1:15">
      <c r="A20" s="118"/>
      <c r="B20" s="153"/>
      <c r="C20" s="154"/>
      <c r="D20" s="154"/>
      <c r="E20" s="155"/>
      <c r="F20" s="118"/>
      <c r="G20" s="156"/>
      <c r="H20" s="127"/>
      <c r="I20" s="128">
        <f t="shared" si="1"/>
        <v>0</v>
      </c>
      <c r="J20" s="157"/>
      <c r="K20" s="158"/>
      <c r="L20" s="159" t="s">
        <v>35</v>
      </c>
      <c r="M20" s="119">
        <f t="shared" si="2"/>
        <v>0</v>
      </c>
    </row>
    <row r="21" ht="14.05" spans="1:15">
      <c r="A21" s="118"/>
      <c r="B21" s="153"/>
      <c r="C21" s="154"/>
      <c r="D21" s="154"/>
      <c r="E21" s="155"/>
      <c r="F21" s="118"/>
      <c r="G21" s="156"/>
      <c r="H21" s="127"/>
      <c r="I21" s="128">
        <f t="shared" si="1"/>
        <v>0</v>
      </c>
      <c r="J21" s="157"/>
      <c r="K21" s="158"/>
      <c r="L21" s="159" t="s">
        <v>35</v>
      </c>
      <c r="M21" s="119">
        <f t="shared" si="2"/>
        <v>0</v>
      </c>
    </row>
    <row r="22" ht="14.05" spans="1:15">
      <c r="A22" s="118"/>
      <c r="B22" s="153"/>
      <c r="C22" s="154"/>
      <c r="D22" s="154"/>
      <c r="E22" s="155"/>
      <c r="F22" s="118"/>
      <c r="G22" s="156"/>
      <c r="H22" s="127"/>
      <c r="I22" s="128">
        <f t="shared" si="1"/>
        <v>0</v>
      </c>
      <c r="J22" s="157"/>
      <c r="K22" s="158"/>
      <c r="L22" s="159" t="s">
        <v>35</v>
      </c>
      <c r="M22" s="119">
        <f t="shared" si="2"/>
        <v>0</v>
      </c>
    </row>
    <row r="23" ht="14.05" spans="1:15">
      <c r="A23" s="118"/>
      <c r="B23" s="153"/>
      <c r="C23" s="154"/>
      <c r="D23" s="154"/>
      <c r="E23" s="155"/>
      <c r="F23" s="118"/>
      <c r="G23" s="156"/>
      <c r="H23" s="127"/>
      <c r="I23" s="128">
        <f t="shared" si="1"/>
        <v>0</v>
      </c>
      <c r="J23" s="157"/>
      <c r="K23" s="158"/>
      <c r="L23" s="159" t="s">
        <v>35</v>
      </c>
      <c r="M23" s="119">
        <f t="shared" si="2"/>
        <v>0</v>
      </c>
    </row>
    <row r="24" ht="14.05" spans="1:15">
      <c r="A24" s="118"/>
      <c r="B24" s="153"/>
      <c r="C24" s="154"/>
      <c r="D24" s="154"/>
      <c r="E24" s="155"/>
      <c r="F24" s="118"/>
      <c r="G24" s="156"/>
      <c r="H24" s="127"/>
      <c r="I24" s="128">
        <f t="shared" si="1"/>
        <v>0</v>
      </c>
      <c r="J24" s="157"/>
      <c r="K24" s="158"/>
      <c r="L24" s="159" t="s">
        <v>35</v>
      </c>
      <c r="M24" s="119">
        <f t="shared" si="2"/>
        <v>0</v>
      </c>
    </row>
    <row r="25" ht="14.05" spans="1:15">
      <c r="A25" s="118"/>
      <c r="B25" s="153"/>
      <c r="C25" s="154"/>
      <c r="D25" s="154"/>
      <c r="E25" s="155"/>
      <c r="F25" s="118"/>
      <c r="G25" s="156"/>
      <c r="H25" s="127"/>
      <c r="I25" s="128">
        <f t="shared" si="1"/>
        <v>0</v>
      </c>
      <c r="J25" s="157"/>
      <c r="K25" s="158"/>
      <c r="L25" s="159" t="s">
        <v>35</v>
      </c>
      <c r="M25" s="119">
        <f t="shared" si="2"/>
        <v>0</v>
      </c>
    </row>
    <row r="26" ht="14.05" spans="1:15">
      <c r="A26" s="118"/>
      <c r="B26" s="153"/>
      <c r="C26" s="154"/>
      <c r="D26" s="154"/>
      <c r="E26" s="155"/>
      <c r="F26" s="118"/>
      <c r="G26" s="156"/>
      <c r="H26" s="127"/>
      <c r="I26" s="128">
        <f t="shared" si="1"/>
        <v>0</v>
      </c>
      <c r="J26" s="157"/>
      <c r="K26" s="158"/>
      <c r="L26" s="159" t="s">
        <v>35</v>
      </c>
      <c r="M26" s="119">
        <f t="shared" si="2"/>
        <v>0</v>
      </c>
    </row>
    <row r="27" ht="56.15" spans="1:15">
      <c r="A27" s="118"/>
      <c r="B27" s="153"/>
      <c r="C27" s="154"/>
      <c r="D27" s="154"/>
      <c r="E27" s="155"/>
      <c r="F27" s="118"/>
      <c r="G27" s="156"/>
      <c r="H27" s="127">
        <v>0.06</v>
      </c>
      <c r="I27" s="128">
        <f t="shared" si="1"/>
        <v>0</v>
      </c>
      <c r="J27" s="157"/>
      <c r="K27" s="158"/>
      <c r="L27" s="162" t="s">
        <v>36</v>
      </c>
      <c r="M27" s="119">
        <v>0</v>
      </c>
    </row>
    <row r="28" ht="56.15" spans="1:15">
      <c r="A28" s="118"/>
      <c r="B28" s="153"/>
      <c r="C28" s="154" t="s">
        <v>37</v>
      </c>
      <c r="D28" s="154"/>
      <c r="E28" s="155"/>
      <c r="F28" s="118"/>
      <c r="G28" s="156"/>
      <c r="H28" s="127"/>
      <c r="I28" s="128">
        <f t="shared" si="1"/>
        <v>0</v>
      </c>
      <c r="J28" s="157"/>
      <c r="K28" s="158"/>
      <c r="L28" s="162" t="s">
        <v>36</v>
      </c>
      <c r="M28" s="119">
        <v>0</v>
      </c>
    </row>
    <row r="29" ht="14.05" spans="1:15">
      <c r="A29" s="118"/>
      <c r="B29" s="153"/>
      <c r="C29" s="155" t="s">
        <v>38</v>
      </c>
      <c r="D29" s="155" t="s">
        <v>39</v>
      </c>
      <c r="E29" s="155">
        <v>1</v>
      </c>
      <c r="F29" s="118" t="s">
        <v>38</v>
      </c>
      <c r="G29" s="163"/>
      <c r="H29" s="127"/>
      <c r="I29" s="128">
        <f t="shared" si="1"/>
        <v>0</v>
      </c>
      <c r="J29" s="164" t="s">
        <v>40</v>
      </c>
      <c r="K29" s="158"/>
      <c r="L29" s="159" t="s">
        <v>41</v>
      </c>
      <c r="M29" s="119">
        <f t="shared" si="2"/>
        <v>0</v>
      </c>
    </row>
    <row r="30" ht="56.15" spans="1:15">
      <c r="A30" s="118"/>
      <c r="B30" s="153"/>
      <c r="C30" s="155" t="s">
        <v>42</v>
      </c>
      <c r="D30" s="118" t="s">
        <v>43</v>
      </c>
      <c r="E30" s="118">
        <v>1</v>
      </c>
      <c r="F30" s="118" t="s">
        <v>38</v>
      </c>
      <c r="G30" s="165"/>
      <c r="H30" s="127"/>
      <c r="I30" s="128">
        <f t="shared" si="1"/>
        <v>0</v>
      </c>
      <c r="J30" s="164" t="s">
        <v>40</v>
      </c>
      <c r="K30" s="158"/>
      <c r="L30" s="159" t="s">
        <v>44</v>
      </c>
      <c r="M30" s="119">
        <f t="shared" si="2"/>
        <v>0</v>
      </c>
    </row>
    <row r="31" ht="14.6" spans="1:15">
      <c r="A31" s="118"/>
      <c r="B31" s="153"/>
      <c r="C31" s="155" t="s">
        <v>38</v>
      </c>
      <c r="D31" s="155" t="s">
        <v>45</v>
      </c>
      <c r="E31" s="155">
        <v>1</v>
      </c>
      <c r="F31" s="118" t="s">
        <v>38</v>
      </c>
      <c r="G31" s="128">
        <f>IF((M10-M31)*0.12&gt;0,(M10-M31)*0.12,0)</f>
        <v>1720.94771936252</v>
      </c>
      <c r="H31" s="166"/>
      <c r="I31" s="167">
        <f>G31</f>
        <v>1720.94771936252</v>
      </c>
      <c r="J31" s="164" t="s">
        <v>40</v>
      </c>
      <c r="K31" s="158"/>
      <c r="L31" s="159" t="s">
        <v>46</v>
      </c>
      <c r="M31" s="149">
        <f>SUM(M13:M30)</f>
        <v>11696.5048543689</v>
      </c>
      <c r="N31" s="160"/>
    </row>
    <row r="32" ht="14.05" spans="1:15">
      <c r="A32" s="118"/>
      <c r="B32" s="153"/>
      <c r="C32" s="155" t="s">
        <v>38</v>
      </c>
      <c r="D32" s="118" t="s">
        <v>47</v>
      </c>
      <c r="E32" s="118">
        <v>1</v>
      </c>
      <c r="F32" s="118" t="s">
        <v>38</v>
      </c>
      <c r="G32" s="128">
        <f>SUM(K40:K55)</f>
        <v>0</v>
      </c>
      <c r="H32" s="166"/>
      <c r="I32" s="167">
        <f>G32</f>
        <v>0</v>
      </c>
      <c r="J32" s="164" t="s">
        <v>40</v>
      </c>
      <c r="K32" s="158"/>
      <c r="L32" s="159" t="s">
        <v>48</v>
      </c>
      <c r="M32" s="95"/>
      <c r="N32" s="160"/>
    </row>
    <row r="33" ht="20.1" customHeight="1" spans="1:17">
      <c r="A33" s="168"/>
      <c r="B33" s="168"/>
      <c r="C33" s="169"/>
      <c r="D33" s="168"/>
      <c r="E33" s="169"/>
      <c r="F33" s="168"/>
      <c r="G33" s="170">
        <f>SUM(G13:G32)</f>
        <v>403300.947719363</v>
      </c>
      <c r="H33" s="143"/>
      <c r="I33" s="170">
        <f>SUM(I13:I32)</f>
        <v>391604.442864994</v>
      </c>
      <c r="J33" s="170">
        <f>SUM(J13:J28)</f>
        <v>0</v>
      </c>
      <c r="K33" s="143"/>
      <c r="L33" s="169"/>
      <c r="M33" s="95"/>
    </row>
    <row r="34" ht="14.6" spans="1:17">
      <c r="A34" s="107" t="s">
        <v>49</v>
      </c>
      <c r="B34" s="107" t="s">
        <v>1</v>
      </c>
      <c r="C34" s="108" t="s">
        <v>1</v>
      </c>
      <c r="D34" s="109" t="s">
        <v>1</v>
      </c>
      <c r="E34" s="108"/>
      <c r="F34" s="107" t="s">
        <v>1</v>
      </c>
      <c r="G34" s="107" t="s">
        <v>1</v>
      </c>
      <c r="H34" s="107"/>
      <c r="I34" s="107"/>
      <c r="J34" s="107"/>
      <c r="K34" s="107" t="s">
        <v>1</v>
      </c>
      <c r="L34" s="110" t="s">
        <v>1</v>
      </c>
      <c r="M34" s="95"/>
    </row>
    <row r="35" ht="14.05" spans="1:17">
      <c r="A35" s="111" t="s">
        <v>9</v>
      </c>
      <c r="B35" s="111" t="s">
        <v>10</v>
      </c>
      <c r="C35" s="111" t="s">
        <v>29</v>
      </c>
      <c r="D35" s="111" t="s">
        <v>30</v>
      </c>
      <c r="E35" s="136" t="s">
        <v>13</v>
      </c>
      <c r="F35" s="137"/>
      <c r="G35" s="111" t="s">
        <v>50</v>
      </c>
      <c r="H35" s="111"/>
      <c r="I35" s="111"/>
      <c r="J35" s="111"/>
      <c r="K35" s="113" t="s">
        <v>17</v>
      </c>
      <c r="L35" s="118" t="s">
        <v>18</v>
      </c>
      <c r="M35" s="95"/>
    </row>
    <row r="36" spans="1:17">
      <c r="A36" s="111"/>
      <c r="B36" s="111"/>
      <c r="C36" s="111"/>
      <c r="D36" s="113"/>
      <c r="E36" s="118"/>
      <c r="F36" s="118"/>
      <c r="G36" s="171"/>
      <c r="H36" s="171"/>
      <c r="I36" s="171"/>
      <c r="J36" s="111"/>
      <c r="K36" s="113"/>
      <c r="L36" s="118"/>
      <c r="M36" s="95"/>
      <c r="N36" s="86"/>
      <c r="O36" s="86"/>
      <c r="P36" s="86"/>
    </row>
    <row r="37" ht="14.65" spans="1:17">
      <c r="A37" s="139" t="s">
        <v>51</v>
      </c>
      <c r="B37" s="139" t="s">
        <v>1</v>
      </c>
      <c r="C37" s="140" t="s">
        <v>1</v>
      </c>
      <c r="D37" s="139" t="s">
        <v>1</v>
      </c>
      <c r="E37" s="172"/>
      <c r="F37" s="173" t="s">
        <v>1</v>
      </c>
      <c r="G37" s="140">
        <f>SUM(G36:G36)</f>
        <v>0</v>
      </c>
      <c r="H37" s="140"/>
      <c r="I37" s="140"/>
      <c r="J37" s="140"/>
      <c r="K37" s="141" t="s">
        <v>1</v>
      </c>
      <c r="L37" s="169" t="s">
        <v>1</v>
      </c>
      <c r="M37" s="95"/>
      <c r="N37" s="86"/>
      <c r="O37" s="86"/>
      <c r="P37" s="86"/>
      <c r="Q37" s="86"/>
    </row>
    <row r="38" ht="45" customHeight="1" spans="1:17">
      <c r="A38" s="174" t="s">
        <v>52</v>
      </c>
      <c r="B38" s="175"/>
      <c r="C38" s="176"/>
      <c r="D38" s="177"/>
      <c r="E38" s="176"/>
      <c r="F38" s="175"/>
      <c r="G38" s="175"/>
      <c r="H38" s="175"/>
      <c r="I38" s="175"/>
      <c r="J38" s="175"/>
      <c r="K38" s="175"/>
      <c r="L38" s="178"/>
      <c r="M38" s="95"/>
      <c r="Q38" s="86"/>
    </row>
    <row r="39" s="86" customFormat="1" ht="14.05" spans="1:17">
      <c r="A39" s="118" t="s">
        <v>9</v>
      </c>
      <c r="B39" s="118" t="s">
        <v>10</v>
      </c>
      <c r="C39" s="116" t="s">
        <v>53</v>
      </c>
      <c r="D39" s="179" t="s">
        <v>54</v>
      </c>
      <c r="E39" s="179" t="s">
        <v>55</v>
      </c>
      <c r="F39" s="118" t="s">
        <v>56</v>
      </c>
      <c r="G39" s="86" t="s">
        <v>57</v>
      </c>
      <c r="H39" s="118" t="s">
        <v>58</v>
      </c>
      <c r="I39" s="116" t="s">
        <v>59</v>
      </c>
      <c r="J39" s="116" t="s">
        <v>60</v>
      </c>
      <c r="K39" s="118" t="s">
        <v>47</v>
      </c>
      <c r="L39" s="179" t="s">
        <v>61</v>
      </c>
      <c r="M39" s="95"/>
      <c r="Q39" s="93"/>
    </row>
    <row r="40" s="86" customFormat="1" ht="70.15" spans="1:17">
      <c r="A40" s="118">
        <v>1</v>
      </c>
      <c r="B40" s="118"/>
      <c r="C40" s="180">
        <v>46053</v>
      </c>
      <c r="D40" s="181" t="s">
        <v>21</v>
      </c>
      <c r="E40" s="181" t="s">
        <v>62</v>
      </c>
      <c r="F40" s="182">
        <v>230000</v>
      </c>
      <c r="G40" s="182"/>
      <c r="H40" s="128">
        <f>IF(C40="","",F40-G40)</f>
        <v>230000</v>
      </c>
      <c r="I40" s="128">
        <f>IF(H40&lt;0,C41-C40,0)</f>
        <v>0</v>
      </c>
      <c r="J40" s="128">
        <f>IF(H40&lt;0,-H40,0)</f>
        <v>0</v>
      </c>
      <c r="K40" s="128">
        <f>J40*I40/365*6%</f>
        <v>0</v>
      </c>
      <c r="L40" s="179"/>
      <c r="M40" s="95"/>
      <c r="Q40" s="93"/>
    </row>
    <row r="41" ht="14.05" spans="1:17">
      <c r="A41" s="118">
        <v>2</v>
      </c>
      <c r="B41" s="183"/>
      <c r="C41" s="184">
        <v>46081</v>
      </c>
      <c r="D41" s="181" t="s">
        <v>34</v>
      </c>
      <c r="E41" s="181"/>
      <c r="F41" s="182"/>
      <c r="G41" s="182">
        <f>G13*0.5</f>
        <v>200790</v>
      </c>
      <c r="H41" s="128">
        <f>IF(C41="","",H40+F41-G41)</f>
        <v>29210</v>
      </c>
      <c r="I41" s="128">
        <f t="shared" ref="I41:I55" si="3">IF(H41&lt;0,C42-C41,0)</f>
        <v>0</v>
      </c>
      <c r="J41" s="128">
        <f t="shared" ref="J41:J55" si="4">IF(H41&lt;0,-H41,0)</f>
        <v>0</v>
      </c>
      <c r="K41" s="128">
        <f t="shared" ref="K41:K55" si="5">J41*I41/365*6%</f>
        <v>0</v>
      </c>
      <c r="L41" s="179"/>
      <c r="M41" s="95"/>
      <c r="N41" s="86"/>
      <c r="O41" s="86"/>
      <c r="P41" s="86"/>
      <c r="Q41" s="86"/>
    </row>
    <row r="42" ht="84.2" spans="1:17">
      <c r="A42" s="118">
        <v>3</v>
      </c>
      <c r="B42" s="183"/>
      <c r="C42" s="184">
        <v>46112</v>
      </c>
      <c r="D42" s="181" t="s">
        <v>21</v>
      </c>
      <c r="E42" s="181" t="s">
        <v>63</v>
      </c>
      <c r="F42" s="182">
        <v>184000</v>
      </c>
      <c r="G42" s="182"/>
      <c r="H42" s="128">
        <f>IF(C42="","",H41+F42-G42)</f>
        <v>213210</v>
      </c>
      <c r="I42" s="128">
        <f t="shared" si="3"/>
        <v>0</v>
      </c>
      <c r="J42" s="128">
        <f t="shared" si="4"/>
        <v>0</v>
      </c>
      <c r="K42" s="128">
        <f t="shared" si="5"/>
        <v>0</v>
      </c>
      <c r="L42" s="179"/>
      <c r="M42" s="95"/>
      <c r="N42" s="86"/>
      <c r="O42" s="86"/>
      <c r="P42" s="86"/>
      <c r="Q42" s="86"/>
    </row>
    <row r="43" ht="14.05" spans="1:17">
      <c r="A43" s="118">
        <v>4</v>
      </c>
      <c r="B43" s="183"/>
      <c r="C43" s="184">
        <v>46142</v>
      </c>
      <c r="D43" s="181" t="s">
        <v>34</v>
      </c>
      <c r="E43" s="181"/>
      <c r="F43" s="182"/>
      <c r="G43" s="182">
        <f>G13*0.4</f>
        <v>160632</v>
      </c>
      <c r="H43" s="128">
        <f t="shared" ref="H43:H55" si="6">IF(C43="","",H42+F43-G43)</f>
        <v>52578</v>
      </c>
      <c r="I43" s="128">
        <f t="shared" si="3"/>
        <v>0</v>
      </c>
      <c r="J43" s="128">
        <f t="shared" si="4"/>
        <v>0</v>
      </c>
      <c r="K43" s="128">
        <f t="shared" si="5"/>
        <v>0</v>
      </c>
      <c r="L43" s="179"/>
      <c r="M43" s="95"/>
      <c r="Q43" s="86"/>
    </row>
    <row r="44" ht="84.2" spans="1:17">
      <c r="A44" s="118">
        <v>5</v>
      </c>
      <c r="B44" s="183"/>
      <c r="C44" s="184">
        <v>46264</v>
      </c>
      <c r="D44" s="181" t="s">
        <v>21</v>
      </c>
      <c r="E44" s="181" t="s">
        <v>64</v>
      </c>
      <c r="F44" s="182">
        <v>46000</v>
      </c>
      <c r="G44" s="182"/>
      <c r="H44" s="128">
        <f t="shared" si="6"/>
        <v>98578</v>
      </c>
      <c r="I44" s="128">
        <f t="shared" si="3"/>
        <v>0</v>
      </c>
      <c r="J44" s="128">
        <f t="shared" si="4"/>
        <v>0</v>
      </c>
      <c r="K44" s="128">
        <f t="shared" si="5"/>
        <v>0</v>
      </c>
      <c r="L44" s="179"/>
      <c r="M44" s="95"/>
      <c r="Q44" s="86"/>
    </row>
    <row r="45" ht="14.05" spans="1:17">
      <c r="A45" s="118">
        <v>6</v>
      </c>
      <c r="B45" s="183"/>
      <c r="C45" s="184">
        <v>46295</v>
      </c>
      <c r="D45" s="181" t="s">
        <v>34</v>
      </c>
      <c r="E45" s="181"/>
      <c r="F45" s="182"/>
      <c r="G45" s="182">
        <f>G13*0.1</f>
        <v>40158</v>
      </c>
      <c r="H45" s="128">
        <f t="shared" si="6"/>
        <v>58420</v>
      </c>
      <c r="I45" s="128">
        <f t="shared" si="3"/>
        <v>0</v>
      </c>
      <c r="J45" s="128">
        <f t="shared" si="4"/>
        <v>0</v>
      </c>
      <c r="K45" s="128">
        <f t="shared" si="5"/>
        <v>0</v>
      </c>
      <c r="L45" s="179"/>
      <c r="M45" s="95"/>
      <c r="Q45" s="86"/>
    </row>
    <row r="46" ht="14.05" spans="1:17">
      <c r="A46" s="118">
        <v>7</v>
      </c>
      <c r="B46" s="183"/>
      <c r="C46" s="184"/>
      <c r="D46" s="181"/>
      <c r="E46" s="181"/>
      <c r="F46" s="182"/>
      <c r="G46" s="182"/>
      <c r="H46" s="128" t="str">
        <f t="shared" si="6"/>
        <v/>
      </c>
      <c r="I46" s="128">
        <f t="shared" si="3"/>
        <v>0</v>
      </c>
      <c r="J46" s="128">
        <f t="shared" si="4"/>
        <v>0</v>
      </c>
      <c r="K46" s="128">
        <f t="shared" si="5"/>
        <v>0</v>
      </c>
      <c r="L46" s="179"/>
      <c r="M46" s="95"/>
      <c r="Q46" s="86"/>
    </row>
    <row r="47" ht="14.05" spans="1:17">
      <c r="A47" s="118">
        <v>8</v>
      </c>
      <c r="B47" s="183"/>
      <c r="C47" s="184"/>
      <c r="D47" s="181"/>
      <c r="E47" s="181"/>
      <c r="F47" s="182"/>
      <c r="G47" s="182"/>
      <c r="H47" s="128" t="str">
        <f t="shared" si="6"/>
        <v/>
      </c>
      <c r="I47" s="128">
        <f t="shared" si="3"/>
        <v>0</v>
      </c>
      <c r="J47" s="128">
        <f t="shared" si="4"/>
        <v>0</v>
      </c>
      <c r="K47" s="128">
        <f t="shared" si="5"/>
        <v>0</v>
      </c>
      <c r="L47" s="179"/>
      <c r="M47" s="95"/>
      <c r="Q47" s="86"/>
    </row>
    <row r="48" ht="14.05" spans="1:17">
      <c r="A48" s="118">
        <v>9</v>
      </c>
      <c r="B48" s="183"/>
      <c r="C48" s="184"/>
      <c r="D48" s="181"/>
      <c r="E48" s="181"/>
      <c r="F48" s="182"/>
      <c r="G48" s="182"/>
      <c r="H48" s="128" t="str">
        <f t="shared" si="6"/>
        <v/>
      </c>
      <c r="I48" s="128">
        <f t="shared" si="3"/>
        <v>0</v>
      </c>
      <c r="J48" s="128">
        <f t="shared" si="4"/>
        <v>0</v>
      </c>
      <c r="K48" s="128">
        <f t="shared" si="5"/>
        <v>0</v>
      </c>
      <c r="L48" s="179"/>
      <c r="M48" s="95"/>
      <c r="Q48" s="86"/>
    </row>
    <row r="49" ht="14.05" spans="1:17">
      <c r="A49" s="118">
        <v>10</v>
      </c>
      <c r="B49" s="183"/>
      <c r="C49" s="184"/>
      <c r="D49" s="181"/>
      <c r="E49" s="181"/>
      <c r="F49" s="182"/>
      <c r="G49" s="182"/>
      <c r="H49" s="128" t="str">
        <f t="shared" si="6"/>
        <v/>
      </c>
      <c r="I49" s="128">
        <f t="shared" si="3"/>
        <v>0</v>
      </c>
      <c r="J49" s="128">
        <f t="shared" si="4"/>
        <v>0</v>
      </c>
      <c r="K49" s="128">
        <f t="shared" si="5"/>
        <v>0</v>
      </c>
      <c r="L49" s="179"/>
      <c r="M49" s="95"/>
      <c r="Q49" s="86"/>
    </row>
    <row r="50" ht="14.05" spans="1:17">
      <c r="A50" s="118">
        <v>11</v>
      </c>
      <c r="B50" s="183"/>
      <c r="C50" s="184"/>
      <c r="D50" s="181"/>
      <c r="E50" s="181"/>
      <c r="F50" s="182"/>
      <c r="G50" s="182"/>
      <c r="H50" s="128" t="str">
        <f t="shared" si="6"/>
        <v/>
      </c>
      <c r="I50" s="128">
        <f t="shared" si="3"/>
        <v>0</v>
      </c>
      <c r="J50" s="128">
        <f t="shared" si="4"/>
        <v>0</v>
      </c>
      <c r="K50" s="128">
        <f t="shared" si="5"/>
        <v>0</v>
      </c>
      <c r="L50" s="179"/>
      <c r="M50" s="95"/>
      <c r="Q50" s="86"/>
    </row>
    <row r="51" ht="14.05" spans="1:17">
      <c r="A51" s="118">
        <v>12</v>
      </c>
      <c r="B51" s="183"/>
      <c r="C51" s="184"/>
      <c r="D51" s="181"/>
      <c r="E51" s="181"/>
      <c r="F51" s="182"/>
      <c r="G51" s="182"/>
      <c r="H51" s="128" t="str">
        <f t="shared" si="6"/>
        <v/>
      </c>
      <c r="I51" s="128">
        <f t="shared" si="3"/>
        <v>0</v>
      </c>
      <c r="J51" s="128">
        <f t="shared" si="4"/>
        <v>0</v>
      </c>
      <c r="K51" s="128">
        <f t="shared" si="5"/>
        <v>0</v>
      </c>
      <c r="L51" s="179"/>
      <c r="M51" s="95"/>
      <c r="Q51" s="86"/>
    </row>
    <row r="52" ht="14.05" spans="1:17">
      <c r="A52" s="118">
        <v>13</v>
      </c>
      <c r="B52" s="183"/>
      <c r="C52" s="184"/>
      <c r="D52" s="181"/>
      <c r="E52" s="181"/>
      <c r="F52" s="182"/>
      <c r="G52" s="182"/>
      <c r="H52" s="128" t="str">
        <f t="shared" si="6"/>
        <v/>
      </c>
      <c r="I52" s="128">
        <f t="shared" si="3"/>
        <v>0</v>
      </c>
      <c r="J52" s="128">
        <f t="shared" si="4"/>
        <v>0</v>
      </c>
      <c r="K52" s="128">
        <f t="shared" si="5"/>
        <v>0</v>
      </c>
      <c r="L52" s="179"/>
      <c r="M52" s="95"/>
      <c r="Q52" s="86"/>
    </row>
    <row r="53" ht="14.05" spans="1:17">
      <c r="A53" s="118">
        <v>14</v>
      </c>
      <c r="B53" s="183"/>
      <c r="C53" s="184"/>
      <c r="D53" s="181"/>
      <c r="E53" s="181"/>
      <c r="F53" s="182"/>
      <c r="G53" s="182"/>
      <c r="H53" s="128" t="str">
        <f t="shared" si="6"/>
        <v/>
      </c>
      <c r="I53" s="128">
        <f t="shared" si="3"/>
        <v>0</v>
      </c>
      <c r="J53" s="128">
        <f t="shared" si="4"/>
        <v>0</v>
      </c>
      <c r="K53" s="128">
        <f t="shared" si="5"/>
        <v>0</v>
      </c>
      <c r="L53" s="179"/>
      <c r="M53" s="95"/>
    </row>
    <row r="54" ht="14.05" spans="1:17">
      <c r="A54" s="118">
        <v>15</v>
      </c>
      <c r="B54" s="179"/>
      <c r="C54" s="184"/>
      <c r="D54" s="181"/>
      <c r="E54" s="181"/>
      <c r="F54" s="182"/>
      <c r="G54" s="182"/>
      <c r="H54" s="128" t="str">
        <f t="shared" si="6"/>
        <v/>
      </c>
      <c r="I54" s="128">
        <f t="shared" si="3"/>
        <v>0</v>
      </c>
      <c r="J54" s="128">
        <f t="shared" si="4"/>
        <v>0</v>
      </c>
      <c r="K54" s="128">
        <f t="shared" si="5"/>
        <v>0</v>
      </c>
      <c r="L54" s="179"/>
      <c r="M54" s="95"/>
    </row>
    <row r="55" ht="14.05" spans="1:17">
      <c r="A55" s="118">
        <v>16</v>
      </c>
      <c r="B55" s="179"/>
      <c r="C55" s="184"/>
      <c r="D55" s="181"/>
      <c r="E55" s="181"/>
      <c r="F55" s="182"/>
      <c r="G55" s="182"/>
      <c r="H55" s="128" t="str">
        <f t="shared" si="6"/>
        <v/>
      </c>
      <c r="I55" s="128">
        <f t="shared" si="3"/>
        <v>0</v>
      </c>
      <c r="J55" s="128">
        <f t="shared" si="4"/>
        <v>0</v>
      </c>
      <c r="K55" s="128">
        <f t="shared" si="5"/>
        <v>0</v>
      </c>
      <c r="L55" s="179"/>
      <c r="M55" s="95"/>
    </row>
    <row r="56" spans="1:17">
      <c r="A56" s="118"/>
      <c r="B56" s="179"/>
      <c r="C56" s="185"/>
      <c r="D56" s="179"/>
      <c r="E56" s="179"/>
      <c r="F56" s="186"/>
      <c r="G56" s="187"/>
      <c r="H56" s="188"/>
      <c r="I56" s="188"/>
      <c r="J56" s="188"/>
      <c r="K56" s="179"/>
      <c r="L56" s="179"/>
      <c r="M56" s="95"/>
    </row>
    <row r="57" ht="14.6" spans="1:17">
      <c r="A57" s="189" t="s">
        <v>65</v>
      </c>
      <c r="B57" s="190"/>
      <c r="C57" s="191"/>
      <c r="D57" s="190"/>
      <c r="E57" s="191"/>
      <c r="F57" s="190"/>
      <c r="G57" s="190"/>
      <c r="H57" s="190"/>
      <c r="I57" s="190"/>
      <c r="J57" s="190"/>
      <c r="K57" s="190"/>
      <c r="L57" s="192"/>
      <c r="M57" s="95"/>
    </row>
    <row r="58" s="86" customFormat="1" ht="22.35" customHeight="1" spans="1:17">
      <c r="A58" s="193" t="s">
        <v>66</v>
      </c>
      <c r="B58" s="193"/>
      <c r="C58" s="194"/>
      <c r="D58" s="195" t="s">
        <v>67</v>
      </c>
      <c r="E58" s="196"/>
      <c r="F58" s="197"/>
      <c r="G58" s="193" t="s">
        <v>68</v>
      </c>
      <c r="H58" s="198"/>
      <c r="I58" s="199" t="s">
        <v>69</v>
      </c>
      <c r="J58" s="200"/>
      <c r="K58" s="201" t="s">
        <v>70</v>
      </c>
      <c r="L58" s="128">
        <f>H58+F58+C58</f>
        <v>0</v>
      </c>
      <c r="M58" s="95"/>
      <c r="N58" s="93"/>
      <c r="O58" s="93"/>
      <c r="P58" s="93"/>
      <c r="Q58" s="93"/>
    </row>
    <row r="59" s="86" customFormat="1" ht="22.35" customHeight="1" spans="1:17">
      <c r="A59" s="193" t="s">
        <v>71</v>
      </c>
      <c r="B59" s="193"/>
      <c r="C59" s="202"/>
      <c r="D59" s="195" t="s">
        <v>72</v>
      </c>
      <c r="E59" s="196"/>
      <c r="F59" s="203"/>
      <c r="G59" s="193" t="s">
        <v>73</v>
      </c>
      <c r="H59" s="198"/>
      <c r="I59" s="204"/>
      <c r="J59" s="205"/>
      <c r="K59" s="201" t="s">
        <v>74</v>
      </c>
      <c r="L59" s="128">
        <f>J58+H59+F59+C59</f>
        <v>0</v>
      </c>
      <c r="M59" s="95"/>
      <c r="N59" s="93"/>
      <c r="O59" s="93"/>
      <c r="P59" s="93"/>
      <c r="Q59" s="93"/>
    </row>
    <row r="60" ht="14.65" spans="1:17">
      <c r="A60" s="206" t="s">
        <v>75</v>
      </c>
      <c r="B60" s="207" t="s">
        <v>1</v>
      </c>
      <c r="C60" s="208" t="s">
        <v>1</v>
      </c>
      <c r="D60" s="209" t="s">
        <v>1</v>
      </c>
      <c r="E60" s="208"/>
      <c r="F60" s="207" t="s">
        <v>1</v>
      </c>
      <c r="G60" s="207" t="s">
        <v>1</v>
      </c>
      <c r="H60" s="207"/>
      <c r="I60" s="207"/>
      <c r="J60" s="207"/>
      <c r="K60" s="207"/>
      <c r="L60" s="207" t="s">
        <v>1</v>
      </c>
      <c r="M60" s="95"/>
    </row>
    <row r="61" s="86" customFormat="1" ht="14.05" spans="1:17">
      <c r="A61" s="118" t="s">
        <v>76</v>
      </c>
      <c r="B61" s="118" t="s">
        <v>1</v>
      </c>
      <c r="C61" s="210">
        <f>I10-I33-L59</f>
        <v>42357.8212859498</v>
      </c>
      <c r="D61" s="118" t="s">
        <v>77</v>
      </c>
      <c r="E61" s="211">
        <f>IFERROR(C61/I10,"")</f>
        <v>0.0976071533980582</v>
      </c>
      <c r="F61" s="212"/>
      <c r="G61" s="213" t="s">
        <v>78</v>
      </c>
      <c r="H61" s="214"/>
      <c r="I61" s="214"/>
      <c r="J61" s="116"/>
      <c r="K61" s="215"/>
      <c r="L61" s="117"/>
      <c r="M61" s="95"/>
      <c r="N61" s="93"/>
      <c r="O61" s="93"/>
      <c r="P61" s="93"/>
      <c r="Q61" s="93"/>
    </row>
    <row r="62" s="86" customFormat="1" ht="14.05" spans="1:17">
      <c r="A62" s="118" t="s">
        <v>79</v>
      </c>
      <c r="B62" s="118" t="s">
        <v>1</v>
      </c>
      <c r="C62" s="216"/>
      <c r="D62" s="118" t="s">
        <v>80</v>
      </c>
      <c r="E62" s="116"/>
      <c r="F62" s="117"/>
      <c r="G62" s="217" t="s">
        <v>81</v>
      </c>
      <c r="H62" s="218"/>
      <c r="I62" s="218"/>
      <c r="J62" s="116"/>
      <c r="K62" s="215"/>
      <c r="L62" s="117"/>
      <c r="M62" s="95"/>
      <c r="N62" s="93"/>
      <c r="O62" s="93"/>
      <c r="P62" s="93"/>
      <c r="Q62" s="93"/>
    </row>
    <row r="63" s="86" customFormat="1" ht="14.05" spans="1:17">
      <c r="A63" s="118" t="s">
        <v>82</v>
      </c>
      <c r="B63" s="118" t="s">
        <v>1</v>
      </c>
      <c r="C63" s="216"/>
      <c r="D63" s="118" t="s">
        <v>83</v>
      </c>
      <c r="E63" s="116"/>
      <c r="F63" s="117"/>
      <c r="G63" s="213" t="s">
        <v>84</v>
      </c>
      <c r="H63" s="214"/>
      <c r="I63" s="214"/>
      <c r="J63" s="116"/>
      <c r="K63" s="215"/>
      <c r="L63" s="117"/>
      <c r="M63" s="95"/>
      <c r="N63" s="93"/>
      <c r="O63" s="93"/>
      <c r="P63" s="93"/>
      <c r="Q63" s="93"/>
    </row>
    <row r="64" ht="14.65" spans="1:17">
      <c r="A64" s="219" t="s">
        <v>1</v>
      </c>
      <c r="B64" s="220" t="s">
        <v>1</v>
      </c>
      <c r="C64" s="221"/>
      <c r="D64" s="219" t="s">
        <v>1</v>
      </c>
      <c r="E64" s="221"/>
      <c r="F64" s="219" t="s">
        <v>1</v>
      </c>
      <c r="G64" s="222" t="s">
        <v>1</v>
      </c>
      <c r="H64" s="222"/>
      <c r="I64" s="222"/>
      <c r="J64" s="222"/>
      <c r="K64" s="223"/>
      <c r="L64" s="219" t="s">
        <v>1</v>
      </c>
    </row>
    <row r="65" ht="14.65" spans="1:12">
      <c r="A65" s="219" t="s">
        <v>85</v>
      </c>
      <c r="B65" s="219" t="s">
        <v>1</v>
      </c>
      <c r="C65" s="169"/>
      <c r="D65" s="219" t="s">
        <v>86</v>
      </c>
      <c r="E65" s="169"/>
      <c r="F65" s="219"/>
      <c r="G65" s="222" t="s">
        <v>1</v>
      </c>
      <c r="H65" s="222"/>
      <c r="I65" s="222"/>
      <c r="J65" s="222"/>
      <c r="K65" s="223"/>
      <c r="L65" s="99"/>
    </row>
    <row r="66" ht="14.65" spans="1:12">
      <c r="A66" s="219" t="s">
        <v>1</v>
      </c>
      <c r="B66" s="220" t="s">
        <v>1</v>
      </c>
      <c r="C66" s="221" t="s">
        <v>1</v>
      </c>
      <c r="D66" s="219" t="s">
        <v>1</v>
      </c>
      <c r="E66" s="221"/>
      <c r="F66" s="219" t="s">
        <v>1</v>
      </c>
      <c r="G66" s="222" t="s">
        <v>1</v>
      </c>
      <c r="H66" s="222"/>
      <c r="I66" s="222"/>
      <c r="J66" s="222"/>
      <c r="K66" s="223"/>
      <c r="L66" s="219" t="s">
        <v>1</v>
      </c>
    </row>
    <row r="67" ht="14.65" spans="1:12">
      <c r="A67" s="219" t="s">
        <v>87</v>
      </c>
      <c r="B67" s="219" t="s">
        <v>1</v>
      </c>
      <c r="C67" s="169"/>
      <c r="D67" s="219" t="s">
        <v>88</v>
      </c>
      <c r="E67" s="169"/>
      <c r="F67" s="219"/>
      <c r="G67" s="222" t="s">
        <v>1</v>
      </c>
      <c r="H67" s="222"/>
      <c r="I67" s="222"/>
      <c r="J67" s="222"/>
      <c r="K67" s="223"/>
      <c r="L67" s="223"/>
    </row>
    <row r="68" ht="14.65" spans="1:12">
      <c r="A68" s="219" t="s">
        <v>1</v>
      </c>
      <c r="B68" s="220" t="s">
        <v>1</v>
      </c>
      <c r="C68" s="221" t="s">
        <v>1</v>
      </c>
      <c r="D68" s="219" t="s">
        <v>1</v>
      </c>
      <c r="E68" s="221"/>
      <c r="F68" s="219" t="s">
        <v>1</v>
      </c>
      <c r="G68" s="222" t="s">
        <v>1</v>
      </c>
      <c r="H68" s="222"/>
      <c r="I68" s="222"/>
      <c r="J68" s="222"/>
      <c r="K68" s="223"/>
      <c r="L68" s="219" t="s">
        <v>1</v>
      </c>
    </row>
    <row r="69" ht="14.65" spans="1:12">
      <c r="A69" s="219" t="s">
        <v>89</v>
      </c>
      <c r="B69" s="219" t="s">
        <v>1</v>
      </c>
      <c r="C69" s="169"/>
      <c r="D69" s="219" t="s">
        <v>1</v>
      </c>
      <c r="E69" s="221"/>
      <c r="F69" s="219" t="s">
        <v>1</v>
      </c>
      <c r="G69" s="222" t="s">
        <v>1</v>
      </c>
      <c r="H69" s="222"/>
      <c r="I69" s="222"/>
      <c r="J69" s="222"/>
      <c r="K69" s="223"/>
      <c r="L69" s="219" t="s">
        <v>1</v>
      </c>
    </row>
    <row r="70" ht="14.65" spans="1:12">
      <c r="A70" s="219" t="s">
        <v>90</v>
      </c>
      <c r="B70" s="219" t="s">
        <v>1</v>
      </c>
      <c r="C70" s="169"/>
      <c r="D70" s="99"/>
      <c r="E70" s="221"/>
      <c r="F70" s="99"/>
      <c r="G70" s="222"/>
      <c r="H70" s="222"/>
      <c r="I70" s="222"/>
      <c r="J70" s="222"/>
      <c r="K70" s="223"/>
      <c r="L70" s="219" t="s">
        <v>1</v>
      </c>
    </row>
    <row r="71" ht="14.65" spans="1:12">
      <c r="A71" s="219" t="s">
        <v>91</v>
      </c>
      <c r="B71" s="219" t="s">
        <v>1</v>
      </c>
      <c r="C71" s="169"/>
      <c r="D71" s="99"/>
      <c r="E71" s="221"/>
      <c r="F71" s="99"/>
      <c r="G71" s="99"/>
      <c r="H71" s="99"/>
      <c r="I71" s="99"/>
      <c r="J71" s="219"/>
      <c r="K71" s="219"/>
      <c r="L71" s="219" t="s">
        <v>1</v>
      </c>
    </row>
    <row r="72" spans="1:12">
      <c r="A72" s="93"/>
      <c r="B72" s="224"/>
      <c r="C72" s="86"/>
      <c r="D72" s="225"/>
      <c r="E72" s="86"/>
      <c r="F72" s="93"/>
      <c r="G72" s="226"/>
      <c r="H72" s="226"/>
      <c r="I72" s="226"/>
      <c r="J72" s="226"/>
      <c r="K72" s="227"/>
      <c r="L72" s="93"/>
    </row>
    <row r="73" spans="1:12">
      <c r="A73" s="93"/>
      <c r="B73" s="224"/>
      <c r="C73" s="86"/>
      <c r="D73" s="225"/>
      <c r="E73" s="86"/>
      <c r="F73" s="93"/>
      <c r="G73" s="226"/>
      <c r="H73" s="226"/>
      <c r="I73" s="226"/>
      <c r="J73" s="226"/>
      <c r="K73" s="227"/>
      <c r="L73" s="93"/>
    </row>
    <row r="74" spans="1:12">
      <c r="A74" s="228" t="s">
        <v>92</v>
      </c>
      <c r="B74" s="229"/>
      <c r="C74" s="230"/>
      <c r="D74" s="231"/>
      <c r="E74" s="230"/>
      <c r="F74" s="228"/>
      <c r="G74" s="232"/>
      <c r="H74" s="232"/>
      <c r="I74" s="232"/>
      <c r="J74" s="226"/>
      <c r="K74" s="227"/>
      <c r="L74" s="93"/>
    </row>
    <row r="75" spans="1:12">
      <c r="A75" s="228" t="s">
        <v>93</v>
      </c>
      <c r="B75" s="229"/>
      <c r="C75" s="230"/>
      <c r="D75" s="231"/>
      <c r="E75" s="230"/>
      <c r="F75" s="228"/>
      <c r="G75" s="232"/>
      <c r="H75" s="232"/>
      <c r="I75" s="232"/>
      <c r="J75" s="226"/>
      <c r="K75" s="227"/>
      <c r="L75" s="93"/>
    </row>
    <row r="76" spans="1:12">
      <c r="A76" s="228" t="s">
        <v>94</v>
      </c>
      <c r="B76" s="229"/>
      <c r="C76" s="230"/>
      <c r="D76" s="231"/>
      <c r="E76" s="230"/>
      <c r="F76" s="228"/>
      <c r="G76" s="232"/>
      <c r="H76" s="232"/>
      <c r="I76" s="232"/>
      <c r="J76" s="226"/>
      <c r="K76" s="227"/>
      <c r="L76" s="93"/>
    </row>
    <row r="77" spans="1:12">
      <c r="A77" s="228" t="s">
        <v>95</v>
      </c>
      <c r="B77" s="229"/>
      <c r="C77" s="230"/>
      <c r="D77" s="231"/>
      <c r="E77" s="230"/>
      <c r="F77" s="228"/>
      <c r="G77" s="232"/>
      <c r="H77" s="232"/>
      <c r="I77" s="232"/>
      <c r="J77" s="226"/>
      <c r="K77" s="227"/>
      <c r="L77" s="93"/>
    </row>
    <row r="78" spans="1:12">
      <c r="A78" s="228" t="s">
        <v>96</v>
      </c>
      <c r="B78" s="229"/>
      <c r="C78" s="230"/>
      <c r="D78" s="231"/>
      <c r="E78" s="230"/>
      <c r="F78" s="228"/>
      <c r="G78" s="232"/>
      <c r="H78" s="232"/>
      <c r="I78" s="232"/>
      <c r="J78" s="226"/>
      <c r="K78" s="227"/>
      <c r="L78" s="93"/>
    </row>
    <row r="79" spans="1:12">
      <c r="A79" s="228" t="s">
        <v>97</v>
      </c>
      <c r="B79" s="229"/>
      <c r="C79" s="230"/>
      <c r="D79" s="231"/>
      <c r="E79" s="230"/>
      <c r="F79" s="228"/>
      <c r="G79" s="232"/>
      <c r="H79" s="232"/>
      <c r="I79" s="232"/>
      <c r="J79" s="226"/>
      <c r="K79" s="227"/>
      <c r="L79" s="93"/>
    </row>
    <row r="80" spans="1:12">
      <c r="A80" s="93"/>
      <c r="B80" s="224"/>
      <c r="C80" s="86"/>
      <c r="D80" s="225"/>
      <c r="E80" s="86"/>
      <c r="F80" s="93"/>
      <c r="G80" s="226"/>
      <c r="H80" s="226"/>
      <c r="I80" s="226"/>
      <c r="J80" s="226"/>
      <c r="K80" s="227"/>
      <c r="L80" s="93"/>
    </row>
    <row r="81" spans="1:12">
      <c r="A81" s="93"/>
      <c r="B81" s="224"/>
      <c r="C81" s="86"/>
      <c r="D81" s="225"/>
      <c r="E81" s="86"/>
      <c r="F81" s="93"/>
      <c r="G81" s="226"/>
      <c r="H81" s="226"/>
      <c r="I81" s="226"/>
      <c r="J81" s="226"/>
      <c r="K81" s="227"/>
      <c r="L81" s="93"/>
    </row>
    <row r="82" spans="1:12">
      <c r="A82" s="93"/>
      <c r="B82" s="224"/>
      <c r="C82" s="86"/>
      <c r="D82" s="225"/>
      <c r="E82" s="86"/>
      <c r="F82" s="93"/>
      <c r="G82" s="226"/>
      <c r="H82" s="226"/>
      <c r="I82" s="226"/>
      <c r="J82" s="226"/>
      <c r="K82" s="227"/>
      <c r="L82" s="93"/>
    </row>
    <row r="83" spans="1:12">
      <c r="A83" s="93"/>
      <c r="B83" s="224"/>
      <c r="C83" s="86"/>
      <c r="D83" s="225"/>
      <c r="E83" s="86"/>
      <c r="F83" s="93"/>
      <c r="G83" s="226"/>
      <c r="H83" s="226"/>
      <c r="I83" s="226"/>
      <c r="J83" s="226"/>
      <c r="K83" s="227"/>
      <c r="L83" s="93"/>
    </row>
    <row r="84" spans="1:12">
      <c r="A84" s="93"/>
      <c r="B84" s="224"/>
      <c r="C84" s="86"/>
      <c r="D84" s="225"/>
      <c r="E84" s="86"/>
      <c r="F84" s="93"/>
      <c r="G84" s="226"/>
      <c r="H84" s="226"/>
      <c r="I84" s="226"/>
      <c r="J84" s="226"/>
      <c r="K84" s="227"/>
      <c r="L84" s="93"/>
    </row>
    <row r="85" spans="1:12">
      <c r="A85" s="93"/>
      <c r="B85" s="224"/>
      <c r="C85" s="86"/>
      <c r="D85" s="225"/>
      <c r="E85" s="86"/>
      <c r="F85" s="93"/>
      <c r="G85" s="226"/>
      <c r="H85" s="226"/>
      <c r="I85" s="226"/>
      <c r="J85" s="226"/>
      <c r="K85" s="227"/>
      <c r="L85" s="93"/>
    </row>
    <row r="86" spans="1:12">
      <c r="A86" s="93"/>
      <c r="B86" s="224"/>
      <c r="C86" s="86"/>
      <c r="D86" s="225"/>
      <c r="E86" s="86"/>
      <c r="F86" s="93"/>
      <c r="G86" s="226"/>
      <c r="H86" s="226"/>
      <c r="I86" s="226"/>
      <c r="J86" s="226"/>
      <c r="K86" s="227"/>
      <c r="L86" s="93"/>
    </row>
  </sheetData>
  <sheetProtection algorithmName="SHA-512" hashValue="Ndchop0PLqS/uBzQWs1yCFX9gyKHYGlcEaE+3UHBURigxPQhDfiLKu5DrWQld4LMsGEuAxXqD2s53C7LCw1XIA==" saltValue="YOzcjCAc2hOWZ8YUR3VHrg==" spinCount="100000" sheet="1" objects="1"/>
  <mergeCells count="47">
    <mergeCell ref="A1:L1"/>
    <mergeCell ref="A3:B3"/>
    <mergeCell ref="C3:D3"/>
    <mergeCell ref="F3:G3"/>
    <mergeCell ref="B4:D4"/>
    <mergeCell ref="A5:L5"/>
    <mergeCell ref="E6:F6"/>
    <mergeCell ref="J6:K6"/>
    <mergeCell ref="J7:K7"/>
    <mergeCell ref="J8:K8"/>
    <mergeCell ref="J9:K9"/>
    <mergeCell ref="A10:F10"/>
    <mergeCell ref="J10:L10"/>
    <mergeCell ref="A11:L11"/>
    <mergeCell ref="A33:F33"/>
    <mergeCell ref="A34:L34"/>
    <mergeCell ref="E35:F35"/>
    <mergeCell ref="E36:F36"/>
    <mergeCell ref="A37:F37"/>
    <mergeCell ref="A38:L38"/>
    <mergeCell ref="A57:L57"/>
    <mergeCell ref="A58:B58"/>
    <mergeCell ref="D58:E58"/>
    <mergeCell ref="A59:B59"/>
    <mergeCell ref="D59:E59"/>
    <mergeCell ref="A60:L60"/>
    <mergeCell ref="A61:B61"/>
    <mergeCell ref="E61:F61"/>
    <mergeCell ref="J61:L61"/>
    <mergeCell ref="A62:B62"/>
    <mergeCell ref="E62:F62"/>
    <mergeCell ref="J62:L62"/>
    <mergeCell ref="A63:B63"/>
    <mergeCell ref="E63:F63"/>
    <mergeCell ref="J63:L63"/>
    <mergeCell ref="A65:B65"/>
    <mergeCell ref="A67:B67"/>
    <mergeCell ref="A69:B69"/>
    <mergeCell ref="A70:B70"/>
    <mergeCell ref="A71:B71"/>
    <mergeCell ref="A7:A9"/>
    <mergeCell ref="B7:B9"/>
    <mergeCell ref="C7:C9"/>
    <mergeCell ref="D7:D9"/>
    <mergeCell ref="I58:I59"/>
    <mergeCell ref="J58:J59"/>
    <mergeCell ref="E7:F9"/>
  </mergeCells>
  <dataValidations count="1">
    <dataValidation type="list" allowBlank="1" showInputMessage="1" showErrorMessage="1" sqref="H7:H9 H13:H30">
      <formula1>"0%,1%,3%,6%,9%,13%"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E65"/>
  <sheetViews>
    <sheetView workbookViewId="0">
      <selection activeCell="G11" sqref="G11"/>
    </sheetView>
  </sheetViews>
  <sheetFormatPr defaultColWidth="8.62727272727273" defaultRowHeight="14"/>
  <cols>
    <col min="2" max="2" width="5.87272727272727" customWidth="1"/>
    <col min="3" max="3" width="18.3727272727273" customWidth="1"/>
    <col min="4" max="4" width="10.8727272727273" customWidth="1"/>
    <col min="8" max="8" width="14.5" customWidth="1"/>
    <col min="10" max="10" width="11" customWidth="1"/>
    <col min="48" max="48" width="14.8727272727273"/>
  </cols>
  <sheetData>
    <row r="1" s="27" customFormat="1" ht="33.95" customHeight="1" spans="1:83">
      <c r="B1" s="32" t="s">
        <v>98</v>
      </c>
      <c r="C1" s="32"/>
      <c r="U1" s="33"/>
      <c r="V1" s="33"/>
    </row>
    <row r="2" s="27" customFormat="1" ht="13.4" spans="1:83">
      <c r="B2" s="34" t="s">
        <v>99</v>
      </c>
      <c r="G2" s="35"/>
      <c r="AS2" s="36"/>
    </row>
    <row r="3" s="27" customFormat="1" ht="13.4" spans="1:83">
      <c r="C3" s="37" t="s">
        <v>100</v>
      </c>
      <c r="D3" s="38">
        <f>J10</f>
        <v>1</v>
      </c>
      <c r="F3" s="35"/>
      <c r="AU3" s="36"/>
    </row>
    <row r="4" s="27" customFormat="1" ht="13.4" spans="1:83">
      <c r="C4" s="37" t="s">
        <v>101</v>
      </c>
      <c r="D4" s="39">
        <f>I10</f>
        <v>1.57894736842105</v>
      </c>
      <c r="F4" s="40"/>
      <c r="AT4" s="36"/>
    </row>
    <row r="5" s="27" customFormat="1" ht="13.4" spans="1:83">
      <c r="C5" s="37" t="s">
        <v>102</v>
      </c>
      <c r="D5" s="39">
        <f>D4/D3</f>
        <v>1.57894736842105</v>
      </c>
      <c r="F5" s="41"/>
      <c r="AQ5" s="36"/>
    </row>
    <row r="6" s="27" customFormat="1" ht="13.4" outlineLevel="1" spans="1:83">
      <c r="AT6" s="36"/>
    </row>
    <row r="7" s="27" customFormat="1" ht="13.4" outlineLevel="1" spans="1:83">
      <c r="AT7" s="36"/>
    </row>
    <row r="8" s="27" customFormat="1" ht="13.4" outlineLevel="1" spans="1:83">
      <c r="J8" s="42"/>
      <c r="K8" s="43">
        <v>2025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5"/>
      <c r="W8" s="46">
        <v>2026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3">
        <v>2027</v>
      </c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5"/>
      <c r="AV8" s="43">
        <v>2025</v>
      </c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5"/>
      <c r="BH8" s="46">
        <v>2026</v>
      </c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3">
        <v>2027</v>
      </c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5"/>
    </row>
    <row r="9" s="27" customFormat="1" ht="13.4" outlineLevel="1" spans="1:83">
      <c r="A9" s="47"/>
      <c r="B9" s="27" t="s">
        <v>103</v>
      </c>
      <c r="G9" s="47" t="s">
        <v>104</v>
      </c>
      <c r="J9" s="48" t="s">
        <v>105</v>
      </c>
      <c r="K9" s="49">
        <v>19</v>
      </c>
      <c r="L9" s="49">
        <v>19</v>
      </c>
      <c r="M9" s="49">
        <v>21</v>
      </c>
      <c r="N9" s="49">
        <v>22</v>
      </c>
      <c r="O9" s="49">
        <v>19</v>
      </c>
      <c r="P9" s="49">
        <v>20</v>
      </c>
      <c r="Q9" s="49">
        <v>23</v>
      </c>
      <c r="R9" s="50">
        <v>21</v>
      </c>
      <c r="S9" s="50">
        <v>23</v>
      </c>
      <c r="T9" s="50">
        <v>18</v>
      </c>
      <c r="U9" s="50">
        <v>20</v>
      </c>
      <c r="V9" s="50">
        <v>23</v>
      </c>
      <c r="W9" s="49">
        <v>19</v>
      </c>
      <c r="X9" s="49">
        <v>19</v>
      </c>
      <c r="Y9" s="49">
        <v>21</v>
      </c>
      <c r="Z9" s="49">
        <v>22</v>
      </c>
      <c r="AA9" s="49">
        <v>19</v>
      </c>
      <c r="AB9" s="49">
        <v>20</v>
      </c>
      <c r="AC9" s="49">
        <v>23</v>
      </c>
      <c r="AD9" s="50">
        <v>21</v>
      </c>
      <c r="AE9" s="50">
        <v>23</v>
      </c>
      <c r="AF9" s="50">
        <v>18</v>
      </c>
      <c r="AG9" s="50">
        <v>20</v>
      </c>
      <c r="AH9" s="50">
        <v>23</v>
      </c>
      <c r="AI9" s="49">
        <v>19</v>
      </c>
      <c r="AJ9" s="49">
        <v>19</v>
      </c>
      <c r="AK9" s="49">
        <v>21</v>
      </c>
      <c r="AL9" s="49">
        <v>22</v>
      </c>
      <c r="AM9" s="49">
        <v>19</v>
      </c>
      <c r="AN9" s="49">
        <v>20</v>
      </c>
      <c r="AO9" s="49">
        <v>23</v>
      </c>
      <c r="AP9" s="50">
        <v>21</v>
      </c>
      <c r="AQ9" s="50">
        <v>23</v>
      </c>
      <c r="AR9" s="50">
        <v>18</v>
      </c>
      <c r="AS9" s="50">
        <v>20</v>
      </c>
      <c r="AT9" s="50">
        <v>23</v>
      </c>
      <c r="AV9" s="49">
        <v>19</v>
      </c>
      <c r="AW9" s="49">
        <v>19</v>
      </c>
      <c r="AX9" s="49">
        <v>21</v>
      </c>
      <c r="AY9" s="49">
        <v>22</v>
      </c>
      <c r="AZ9" s="49">
        <v>19</v>
      </c>
      <c r="BA9" s="49">
        <v>20</v>
      </c>
      <c r="BB9" s="49">
        <v>23</v>
      </c>
      <c r="BC9" s="50">
        <v>21</v>
      </c>
      <c r="BD9" s="50">
        <v>23</v>
      </c>
      <c r="BE9" s="50">
        <v>18</v>
      </c>
      <c r="BF9" s="50">
        <v>20</v>
      </c>
      <c r="BG9" s="50">
        <v>23</v>
      </c>
      <c r="BH9" s="49">
        <v>19</v>
      </c>
      <c r="BI9" s="49">
        <v>19</v>
      </c>
      <c r="BJ9" s="49">
        <v>21</v>
      </c>
      <c r="BK9" s="49">
        <v>22</v>
      </c>
      <c r="BL9" s="49">
        <v>19</v>
      </c>
      <c r="BM9" s="49">
        <v>20</v>
      </c>
      <c r="BN9" s="49">
        <v>23</v>
      </c>
      <c r="BO9" s="50">
        <v>21</v>
      </c>
      <c r="BP9" s="50">
        <v>23</v>
      </c>
      <c r="BQ9" s="50">
        <v>18</v>
      </c>
      <c r="BR9" s="50">
        <v>20</v>
      </c>
      <c r="BS9" s="50">
        <v>23</v>
      </c>
      <c r="BT9" s="49">
        <v>19</v>
      </c>
      <c r="BU9" s="49">
        <v>19</v>
      </c>
      <c r="BV9" s="49">
        <v>21</v>
      </c>
      <c r="BW9" s="49">
        <v>22</v>
      </c>
      <c r="BX9" s="49">
        <v>19</v>
      </c>
      <c r="BY9" s="49">
        <v>20</v>
      </c>
      <c r="BZ9" s="49">
        <v>23</v>
      </c>
      <c r="CA9" s="50">
        <v>21</v>
      </c>
      <c r="CB9" s="50">
        <v>23</v>
      </c>
      <c r="CC9" s="50">
        <v>18</v>
      </c>
      <c r="CD9" s="50">
        <v>20</v>
      </c>
      <c r="CE9" s="50">
        <v>23</v>
      </c>
    </row>
    <row r="10" s="27" customFormat="1" ht="13.4" outlineLevel="1" spans="1:83">
      <c r="B10" s="51"/>
      <c r="C10" s="52"/>
      <c r="D10" s="52"/>
      <c r="E10" s="52"/>
      <c r="F10" s="52"/>
      <c r="G10" s="53"/>
      <c r="H10" s="53"/>
      <c r="I10" s="54">
        <f>SUM(I12:I51)</f>
        <v>1.57894736842105</v>
      </c>
      <c r="J10" s="54">
        <f>SUM(J12:J51)</f>
        <v>1</v>
      </c>
      <c r="K10" s="55">
        <v>1</v>
      </c>
      <c r="L10" s="55">
        <f t="shared" ref="L10:AT10" si="0">IF(K10=12,1,K10+1)</f>
        <v>2</v>
      </c>
      <c r="M10" s="55">
        <f t="shared" si="0"/>
        <v>3</v>
      </c>
      <c r="N10" s="55">
        <f t="shared" si="0"/>
        <v>4</v>
      </c>
      <c r="O10" s="55">
        <f t="shared" si="0"/>
        <v>5</v>
      </c>
      <c r="P10" s="55">
        <f t="shared" si="0"/>
        <v>6</v>
      </c>
      <c r="Q10" s="55">
        <f t="shared" si="0"/>
        <v>7</v>
      </c>
      <c r="R10" s="55">
        <f t="shared" si="0"/>
        <v>8</v>
      </c>
      <c r="S10" s="55">
        <f t="shared" si="0"/>
        <v>9</v>
      </c>
      <c r="T10" s="55">
        <f t="shared" si="0"/>
        <v>10</v>
      </c>
      <c r="U10" s="55">
        <f t="shared" si="0"/>
        <v>11</v>
      </c>
      <c r="V10" s="55">
        <f t="shared" si="0"/>
        <v>12</v>
      </c>
      <c r="W10" s="55">
        <f t="shared" si="0"/>
        <v>1</v>
      </c>
      <c r="X10" s="55">
        <f t="shared" si="0"/>
        <v>2</v>
      </c>
      <c r="Y10" s="55">
        <f t="shared" si="0"/>
        <v>3</v>
      </c>
      <c r="Z10" s="55">
        <f t="shared" si="0"/>
        <v>4</v>
      </c>
      <c r="AA10" s="55">
        <f t="shared" si="0"/>
        <v>5</v>
      </c>
      <c r="AB10" s="55">
        <f t="shared" si="0"/>
        <v>6</v>
      </c>
      <c r="AC10" s="55">
        <f t="shared" si="0"/>
        <v>7</v>
      </c>
      <c r="AD10" s="55">
        <f t="shared" si="0"/>
        <v>8</v>
      </c>
      <c r="AE10" s="55">
        <f t="shared" si="0"/>
        <v>9</v>
      </c>
      <c r="AF10" s="55">
        <f t="shared" si="0"/>
        <v>10</v>
      </c>
      <c r="AG10" s="55">
        <f t="shared" si="0"/>
        <v>11</v>
      </c>
      <c r="AH10" s="55">
        <f t="shared" si="0"/>
        <v>12</v>
      </c>
      <c r="AI10" s="55">
        <f t="shared" si="0"/>
        <v>1</v>
      </c>
      <c r="AJ10" s="55">
        <f t="shared" si="0"/>
        <v>2</v>
      </c>
      <c r="AK10" s="55">
        <f t="shared" si="0"/>
        <v>3</v>
      </c>
      <c r="AL10" s="55">
        <f t="shared" si="0"/>
        <v>4</v>
      </c>
      <c r="AM10" s="55">
        <f t="shared" si="0"/>
        <v>5</v>
      </c>
      <c r="AN10" s="55">
        <f t="shared" si="0"/>
        <v>6</v>
      </c>
      <c r="AO10" s="55">
        <f t="shared" si="0"/>
        <v>7</v>
      </c>
      <c r="AP10" s="55">
        <f t="shared" si="0"/>
        <v>8</v>
      </c>
      <c r="AQ10" s="55">
        <f t="shared" si="0"/>
        <v>9</v>
      </c>
      <c r="AR10" s="55">
        <f t="shared" si="0"/>
        <v>10</v>
      </c>
      <c r="AS10" s="55">
        <f t="shared" si="0"/>
        <v>11</v>
      </c>
      <c r="AT10" s="55">
        <f t="shared" si="0"/>
        <v>12</v>
      </c>
      <c r="AU10" s="56">
        <f>SUM(AU12:AU51)</f>
        <v>1</v>
      </c>
      <c r="AV10" s="57">
        <v>1</v>
      </c>
      <c r="AW10" s="57">
        <f t="shared" ref="AW10:CE10" si="1">IF(AV10=12,1,AV10+1)</f>
        <v>2</v>
      </c>
      <c r="AX10" s="57">
        <f t="shared" si="1"/>
        <v>3</v>
      </c>
      <c r="AY10" s="57">
        <f t="shared" si="1"/>
        <v>4</v>
      </c>
      <c r="AZ10" s="57">
        <f t="shared" si="1"/>
        <v>5</v>
      </c>
      <c r="BA10" s="57">
        <f t="shared" si="1"/>
        <v>6</v>
      </c>
      <c r="BB10" s="57">
        <f t="shared" si="1"/>
        <v>7</v>
      </c>
      <c r="BC10" s="57">
        <f t="shared" si="1"/>
        <v>8</v>
      </c>
      <c r="BD10" s="57">
        <f t="shared" si="1"/>
        <v>9</v>
      </c>
      <c r="BE10" s="57">
        <f t="shared" si="1"/>
        <v>10</v>
      </c>
      <c r="BF10" s="57">
        <f t="shared" si="1"/>
        <v>11</v>
      </c>
      <c r="BG10" s="57">
        <f t="shared" si="1"/>
        <v>12</v>
      </c>
      <c r="BH10" s="57">
        <f t="shared" si="1"/>
        <v>1</v>
      </c>
      <c r="BI10" s="57">
        <f t="shared" si="1"/>
        <v>2</v>
      </c>
      <c r="BJ10" s="57">
        <f t="shared" si="1"/>
        <v>3</v>
      </c>
      <c r="BK10" s="57">
        <f t="shared" si="1"/>
        <v>4</v>
      </c>
      <c r="BL10" s="57">
        <f t="shared" si="1"/>
        <v>5</v>
      </c>
      <c r="BM10" s="57">
        <f t="shared" si="1"/>
        <v>6</v>
      </c>
      <c r="BN10" s="57">
        <f t="shared" si="1"/>
        <v>7</v>
      </c>
      <c r="BO10" s="57">
        <f t="shared" si="1"/>
        <v>8</v>
      </c>
      <c r="BP10" s="57">
        <f t="shared" si="1"/>
        <v>9</v>
      </c>
      <c r="BQ10" s="57">
        <f t="shared" si="1"/>
        <v>10</v>
      </c>
      <c r="BR10" s="57">
        <f t="shared" si="1"/>
        <v>11</v>
      </c>
      <c r="BS10" s="57">
        <f t="shared" si="1"/>
        <v>12</v>
      </c>
      <c r="BT10" s="57">
        <f t="shared" si="1"/>
        <v>1</v>
      </c>
      <c r="BU10" s="57">
        <f t="shared" si="1"/>
        <v>2</v>
      </c>
      <c r="BV10" s="57">
        <f t="shared" si="1"/>
        <v>3</v>
      </c>
      <c r="BW10" s="57">
        <f t="shared" si="1"/>
        <v>4</v>
      </c>
      <c r="BX10" s="57">
        <f t="shared" si="1"/>
        <v>5</v>
      </c>
      <c r="BY10" s="57">
        <f t="shared" si="1"/>
        <v>6</v>
      </c>
      <c r="BZ10" s="57">
        <f t="shared" si="1"/>
        <v>7</v>
      </c>
      <c r="CA10" s="57">
        <f t="shared" si="1"/>
        <v>8</v>
      </c>
      <c r="CB10" s="57">
        <f t="shared" si="1"/>
        <v>9</v>
      </c>
      <c r="CC10" s="57">
        <f t="shared" si="1"/>
        <v>10</v>
      </c>
      <c r="CD10" s="57">
        <f t="shared" si="1"/>
        <v>11</v>
      </c>
      <c r="CE10" s="57">
        <f t="shared" si="1"/>
        <v>12</v>
      </c>
    </row>
    <row r="11" s="28" customFormat="1" ht="26.85" outlineLevel="1" spans="1:83">
      <c r="B11" s="58" t="s">
        <v>106</v>
      </c>
      <c r="C11" s="58" t="s">
        <v>107</v>
      </c>
      <c r="D11" s="58" t="s">
        <v>108</v>
      </c>
      <c r="E11" s="59" t="s">
        <v>109</v>
      </c>
      <c r="F11" s="59" t="s">
        <v>110</v>
      </c>
      <c r="G11" s="59" t="s">
        <v>111</v>
      </c>
      <c r="H11" s="59" t="s">
        <v>112</v>
      </c>
      <c r="I11" s="60" t="s">
        <v>101</v>
      </c>
      <c r="J11" s="61" t="s">
        <v>113</v>
      </c>
      <c r="K11" s="59">
        <f t="shared" ref="K11:AT11" si="2">SUM(K12:K51)</f>
        <v>1</v>
      </c>
      <c r="L11" s="59">
        <f t="shared" si="2"/>
        <v>0</v>
      </c>
      <c r="M11" s="59">
        <f t="shared" si="2"/>
        <v>0</v>
      </c>
      <c r="N11" s="59">
        <f t="shared" si="2"/>
        <v>0</v>
      </c>
      <c r="O11" s="59">
        <f t="shared" si="2"/>
        <v>0</v>
      </c>
      <c r="P11" s="59">
        <f t="shared" si="2"/>
        <v>0</v>
      </c>
      <c r="Q11" s="59">
        <f t="shared" si="2"/>
        <v>0</v>
      </c>
      <c r="R11" s="59">
        <f t="shared" si="2"/>
        <v>0</v>
      </c>
      <c r="S11" s="59">
        <f t="shared" si="2"/>
        <v>0</v>
      </c>
      <c r="T11" s="59">
        <f t="shared" si="2"/>
        <v>0</v>
      </c>
      <c r="U11" s="59">
        <f t="shared" si="2"/>
        <v>0</v>
      </c>
      <c r="V11" s="59">
        <f t="shared" si="2"/>
        <v>0</v>
      </c>
      <c r="W11" s="59">
        <f t="shared" si="2"/>
        <v>0</v>
      </c>
      <c r="X11" s="59">
        <f t="shared" si="2"/>
        <v>0</v>
      </c>
      <c r="Y11" s="59">
        <f t="shared" si="2"/>
        <v>0</v>
      </c>
      <c r="Z11" s="59">
        <f t="shared" si="2"/>
        <v>0</v>
      </c>
      <c r="AA11" s="59">
        <f t="shared" si="2"/>
        <v>0</v>
      </c>
      <c r="AB11" s="59">
        <f t="shared" si="2"/>
        <v>0</v>
      </c>
      <c r="AC11" s="59">
        <f t="shared" si="2"/>
        <v>0</v>
      </c>
      <c r="AD11" s="59">
        <f t="shared" si="2"/>
        <v>0</v>
      </c>
      <c r="AE11" s="59">
        <f t="shared" si="2"/>
        <v>0</v>
      </c>
      <c r="AF11" s="59">
        <f t="shared" si="2"/>
        <v>0</v>
      </c>
      <c r="AG11" s="59">
        <f t="shared" si="2"/>
        <v>0</v>
      </c>
      <c r="AH11" s="59">
        <f t="shared" si="2"/>
        <v>0</v>
      </c>
      <c r="AI11" s="59">
        <f t="shared" si="2"/>
        <v>0</v>
      </c>
      <c r="AJ11" s="59">
        <f t="shared" si="2"/>
        <v>0</v>
      </c>
      <c r="AK11" s="59">
        <f t="shared" si="2"/>
        <v>0</v>
      </c>
      <c r="AL11" s="59">
        <f t="shared" si="2"/>
        <v>0</v>
      </c>
      <c r="AM11" s="59">
        <f t="shared" si="2"/>
        <v>0</v>
      </c>
      <c r="AN11" s="59">
        <f t="shared" si="2"/>
        <v>0</v>
      </c>
      <c r="AO11" s="59">
        <f t="shared" si="2"/>
        <v>0</v>
      </c>
      <c r="AP11" s="59">
        <f t="shared" si="2"/>
        <v>0</v>
      </c>
      <c r="AQ11" s="59">
        <f t="shared" si="2"/>
        <v>0</v>
      </c>
      <c r="AR11" s="59">
        <f t="shared" si="2"/>
        <v>0</v>
      </c>
      <c r="AS11" s="59">
        <f t="shared" si="2"/>
        <v>0</v>
      </c>
      <c r="AT11" s="59">
        <f t="shared" si="2"/>
        <v>0</v>
      </c>
      <c r="AU11" s="61" t="s">
        <v>114</v>
      </c>
      <c r="AV11" s="59">
        <f t="shared" ref="AV11:CE11" si="3">SUM(AV12:AV51)</f>
        <v>1.57894736842105</v>
      </c>
      <c r="AW11" s="59">
        <f t="shared" si="3"/>
        <v>0</v>
      </c>
      <c r="AX11" s="59">
        <f t="shared" si="3"/>
        <v>0</v>
      </c>
      <c r="AY11" s="59">
        <f t="shared" si="3"/>
        <v>0</v>
      </c>
      <c r="AZ11" s="59">
        <f t="shared" si="3"/>
        <v>0</v>
      </c>
      <c r="BA11" s="59">
        <f t="shared" si="3"/>
        <v>0</v>
      </c>
      <c r="BB11" s="59">
        <f t="shared" si="3"/>
        <v>0</v>
      </c>
      <c r="BC11" s="59">
        <f t="shared" si="3"/>
        <v>0</v>
      </c>
      <c r="BD11" s="59">
        <f t="shared" si="3"/>
        <v>0</v>
      </c>
      <c r="BE11" s="59">
        <f t="shared" si="3"/>
        <v>0</v>
      </c>
      <c r="BF11" s="59">
        <f t="shared" si="3"/>
        <v>0</v>
      </c>
      <c r="BG11" s="59">
        <f t="shared" si="3"/>
        <v>0</v>
      </c>
      <c r="BH11" s="59">
        <f t="shared" si="3"/>
        <v>0</v>
      </c>
      <c r="BI11" s="59">
        <f t="shared" si="3"/>
        <v>0</v>
      </c>
      <c r="BJ11" s="59">
        <f t="shared" si="3"/>
        <v>0</v>
      </c>
      <c r="BK11" s="59">
        <f t="shared" si="3"/>
        <v>0</v>
      </c>
      <c r="BL11" s="59">
        <f t="shared" si="3"/>
        <v>0</v>
      </c>
      <c r="BM11" s="59">
        <f t="shared" si="3"/>
        <v>0</v>
      </c>
      <c r="BN11" s="59">
        <f t="shared" si="3"/>
        <v>0</v>
      </c>
      <c r="BO11" s="59">
        <f t="shared" si="3"/>
        <v>0</v>
      </c>
      <c r="BP11" s="59">
        <f t="shared" si="3"/>
        <v>0</v>
      </c>
      <c r="BQ11" s="59">
        <f t="shared" si="3"/>
        <v>0</v>
      </c>
      <c r="BR11" s="59">
        <f t="shared" si="3"/>
        <v>0</v>
      </c>
      <c r="BS11" s="59">
        <f t="shared" si="3"/>
        <v>0</v>
      </c>
      <c r="BT11" s="59">
        <f t="shared" si="3"/>
        <v>0</v>
      </c>
      <c r="BU11" s="59">
        <f t="shared" si="3"/>
        <v>0</v>
      </c>
      <c r="BV11" s="59">
        <f t="shared" si="3"/>
        <v>0</v>
      </c>
      <c r="BW11" s="59">
        <f t="shared" si="3"/>
        <v>0</v>
      </c>
      <c r="BX11" s="59">
        <f t="shared" si="3"/>
        <v>0</v>
      </c>
      <c r="BY11" s="59">
        <f t="shared" si="3"/>
        <v>0</v>
      </c>
      <c r="BZ11" s="59">
        <f t="shared" si="3"/>
        <v>0</v>
      </c>
      <c r="CA11" s="59">
        <f t="shared" si="3"/>
        <v>0</v>
      </c>
      <c r="CB11" s="59">
        <f t="shared" si="3"/>
        <v>0</v>
      </c>
      <c r="CC11" s="59">
        <f t="shared" si="3"/>
        <v>0</v>
      </c>
      <c r="CD11" s="59">
        <f t="shared" si="3"/>
        <v>0</v>
      </c>
      <c r="CE11" s="59">
        <f t="shared" si="3"/>
        <v>0</v>
      </c>
    </row>
    <row r="12" s="29" customFormat="1" ht="13.4" outlineLevel="1" spans="1:83">
      <c r="B12" s="62">
        <v>1</v>
      </c>
      <c r="C12" s="62"/>
      <c r="D12" s="63"/>
      <c r="E12" s="63"/>
      <c r="F12" s="63"/>
      <c r="G12" s="64"/>
      <c r="H12" s="65">
        <v>30</v>
      </c>
      <c r="I12" s="66">
        <f>SUM(AV12:CE12)</f>
        <v>1.57894736842105</v>
      </c>
      <c r="J12" s="66">
        <f t="shared" ref="J12:J51" si="4">SUM(K12:AT12)</f>
        <v>1</v>
      </c>
      <c r="K12" s="67">
        <v>1</v>
      </c>
      <c r="L12" s="67"/>
      <c r="M12" s="67"/>
      <c r="N12" s="67"/>
      <c r="O12" s="67"/>
      <c r="P12" s="68"/>
      <c r="Q12" s="68"/>
      <c r="R12" s="68"/>
      <c r="S12" s="67"/>
      <c r="T12" s="63"/>
      <c r="U12" s="69"/>
      <c r="V12" s="70"/>
      <c r="W12" s="70"/>
      <c r="X12" s="71"/>
      <c r="Y12" s="72"/>
      <c r="Z12" s="72"/>
      <c r="AA12" s="72"/>
      <c r="AB12" s="72"/>
      <c r="AC12" s="72"/>
      <c r="AD12" s="72"/>
      <c r="AE12" s="72"/>
      <c r="AF12" s="72"/>
      <c r="AG12" s="72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6">
        <f t="shared" ref="AU12:AU51" si="5">COUNTA(K12:AT12)</f>
        <v>1</v>
      </c>
      <c r="AV12" s="73">
        <f t="shared" ref="AV12:CE12" si="6">$H12/K$9*K12</f>
        <v>1.57894736842105</v>
      </c>
      <c r="AW12" s="73">
        <f t="shared" si="6"/>
        <v>0</v>
      </c>
      <c r="AX12" s="73">
        <f t="shared" si="6"/>
        <v>0</v>
      </c>
      <c r="AY12" s="73">
        <f t="shared" si="6"/>
        <v>0</v>
      </c>
      <c r="AZ12" s="73">
        <f t="shared" si="6"/>
        <v>0</v>
      </c>
      <c r="BA12" s="73">
        <f t="shared" si="6"/>
        <v>0</v>
      </c>
      <c r="BB12" s="73">
        <f t="shared" si="6"/>
        <v>0</v>
      </c>
      <c r="BC12" s="73">
        <f t="shared" si="6"/>
        <v>0</v>
      </c>
      <c r="BD12" s="73">
        <f t="shared" si="6"/>
        <v>0</v>
      </c>
      <c r="BE12" s="73">
        <f t="shared" si="6"/>
        <v>0</v>
      </c>
      <c r="BF12" s="73">
        <f t="shared" si="6"/>
        <v>0</v>
      </c>
      <c r="BG12" s="73">
        <f t="shared" si="6"/>
        <v>0</v>
      </c>
      <c r="BH12" s="73">
        <f t="shared" si="6"/>
        <v>0</v>
      </c>
      <c r="BI12" s="73">
        <f t="shared" si="6"/>
        <v>0</v>
      </c>
      <c r="BJ12" s="73">
        <f t="shared" si="6"/>
        <v>0</v>
      </c>
      <c r="BK12" s="73">
        <f t="shared" si="6"/>
        <v>0</v>
      </c>
      <c r="BL12" s="73">
        <f t="shared" si="6"/>
        <v>0</v>
      </c>
      <c r="BM12" s="73">
        <f t="shared" si="6"/>
        <v>0</v>
      </c>
      <c r="BN12" s="73">
        <f t="shared" si="6"/>
        <v>0</v>
      </c>
      <c r="BO12" s="73">
        <f t="shared" si="6"/>
        <v>0</v>
      </c>
      <c r="BP12" s="73">
        <f t="shared" si="6"/>
        <v>0</v>
      </c>
      <c r="BQ12" s="73">
        <f t="shared" si="6"/>
        <v>0</v>
      </c>
      <c r="BR12" s="73">
        <f t="shared" si="6"/>
        <v>0</v>
      </c>
      <c r="BS12" s="73">
        <f t="shared" si="6"/>
        <v>0</v>
      </c>
      <c r="BT12" s="73">
        <f t="shared" si="6"/>
        <v>0</v>
      </c>
      <c r="BU12" s="73">
        <f t="shared" si="6"/>
        <v>0</v>
      </c>
      <c r="BV12" s="73">
        <f t="shared" si="6"/>
        <v>0</v>
      </c>
      <c r="BW12" s="73">
        <f t="shared" si="6"/>
        <v>0</v>
      </c>
      <c r="BX12" s="73">
        <f t="shared" si="6"/>
        <v>0</v>
      </c>
      <c r="BY12" s="73">
        <f t="shared" si="6"/>
        <v>0</v>
      </c>
      <c r="BZ12" s="73">
        <f t="shared" si="6"/>
        <v>0</v>
      </c>
      <c r="CA12" s="73">
        <f t="shared" si="6"/>
        <v>0</v>
      </c>
      <c r="CB12" s="73">
        <f t="shared" si="6"/>
        <v>0</v>
      </c>
      <c r="CC12" s="73">
        <f t="shared" si="6"/>
        <v>0</v>
      </c>
      <c r="CD12" s="73">
        <f t="shared" si="6"/>
        <v>0</v>
      </c>
      <c r="CE12" s="73">
        <f t="shared" si="6"/>
        <v>0</v>
      </c>
    </row>
    <row r="13" s="29" customFormat="1" ht="13.4" outlineLevel="1" spans="1:83">
      <c r="B13" s="62">
        <v>2</v>
      </c>
      <c r="C13" s="62"/>
      <c r="D13" s="63"/>
      <c r="E13" s="63"/>
      <c r="F13" s="63"/>
      <c r="G13" s="64"/>
      <c r="H13" s="65"/>
      <c r="I13" s="66"/>
      <c r="J13" s="66">
        <f t="shared" si="4"/>
        <v>0</v>
      </c>
      <c r="K13" s="67"/>
      <c r="L13" s="67"/>
      <c r="M13" s="67"/>
      <c r="N13" s="67"/>
      <c r="O13" s="67"/>
      <c r="P13" s="68"/>
      <c r="Q13" s="68"/>
      <c r="R13" s="68"/>
      <c r="S13" s="67"/>
      <c r="T13" s="63"/>
      <c r="U13" s="69"/>
      <c r="V13" s="72"/>
      <c r="W13" s="72"/>
      <c r="X13" s="71"/>
      <c r="Y13" s="70"/>
      <c r="Z13" s="72"/>
      <c r="AA13" s="72"/>
      <c r="AB13" s="72"/>
      <c r="AC13" s="72"/>
      <c r="AD13" s="72"/>
      <c r="AE13" s="72"/>
      <c r="AF13" s="72"/>
      <c r="AG13" s="72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6">
        <f t="shared" si="5"/>
        <v>0</v>
      </c>
      <c r="AV13" s="73">
        <f t="shared" ref="AV13:CE13" si="7">$H13/K$9*K13</f>
        <v>0</v>
      </c>
      <c r="AW13" s="73">
        <f t="shared" si="7"/>
        <v>0</v>
      </c>
      <c r="AX13" s="73">
        <f t="shared" si="7"/>
        <v>0</v>
      </c>
      <c r="AY13" s="73">
        <f t="shared" si="7"/>
        <v>0</v>
      </c>
      <c r="AZ13" s="73">
        <f t="shared" si="7"/>
        <v>0</v>
      </c>
      <c r="BA13" s="73">
        <f t="shared" si="7"/>
        <v>0</v>
      </c>
      <c r="BB13" s="73">
        <f t="shared" si="7"/>
        <v>0</v>
      </c>
      <c r="BC13" s="73">
        <f t="shared" si="7"/>
        <v>0</v>
      </c>
      <c r="BD13" s="73">
        <f t="shared" si="7"/>
        <v>0</v>
      </c>
      <c r="BE13" s="73">
        <f t="shared" si="7"/>
        <v>0</v>
      </c>
      <c r="BF13" s="73">
        <f t="shared" si="7"/>
        <v>0</v>
      </c>
      <c r="BG13" s="73">
        <f t="shared" si="7"/>
        <v>0</v>
      </c>
      <c r="BH13" s="73">
        <f t="shared" si="7"/>
        <v>0</v>
      </c>
      <c r="BI13" s="73">
        <f t="shared" si="7"/>
        <v>0</v>
      </c>
      <c r="BJ13" s="73">
        <f t="shared" si="7"/>
        <v>0</v>
      </c>
      <c r="BK13" s="73">
        <f t="shared" si="7"/>
        <v>0</v>
      </c>
      <c r="BL13" s="73">
        <f t="shared" si="7"/>
        <v>0</v>
      </c>
      <c r="BM13" s="73">
        <f t="shared" si="7"/>
        <v>0</v>
      </c>
      <c r="BN13" s="73">
        <f t="shared" si="7"/>
        <v>0</v>
      </c>
      <c r="BO13" s="73">
        <f t="shared" si="7"/>
        <v>0</v>
      </c>
      <c r="BP13" s="73">
        <f t="shared" si="7"/>
        <v>0</v>
      </c>
      <c r="BQ13" s="73">
        <f t="shared" si="7"/>
        <v>0</v>
      </c>
      <c r="BR13" s="73">
        <f t="shared" si="7"/>
        <v>0</v>
      </c>
      <c r="BS13" s="73">
        <f t="shared" si="7"/>
        <v>0</v>
      </c>
      <c r="BT13" s="73">
        <f t="shared" si="7"/>
        <v>0</v>
      </c>
      <c r="BU13" s="73">
        <f t="shared" si="7"/>
        <v>0</v>
      </c>
      <c r="BV13" s="73">
        <f t="shared" si="7"/>
        <v>0</v>
      </c>
      <c r="BW13" s="73">
        <f t="shared" si="7"/>
        <v>0</v>
      </c>
      <c r="BX13" s="73">
        <f t="shared" si="7"/>
        <v>0</v>
      </c>
      <c r="BY13" s="73">
        <f t="shared" si="7"/>
        <v>0</v>
      </c>
      <c r="BZ13" s="73">
        <f t="shared" si="7"/>
        <v>0</v>
      </c>
      <c r="CA13" s="73">
        <f t="shared" si="7"/>
        <v>0</v>
      </c>
      <c r="CB13" s="73">
        <f t="shared" si="7"/>
        <v>0</v>
      </c>
      <c r="CC13" s="73">
        <f t="shared" si="7"/>
        <v>0</v>
      </c>
      <c r="CD13" s="73">
        <f t="shared" si="7"/>
        <v>0</v>
      </c>
      <c r="CE13" s="73">
        <f t="shared" si="7"/>
        <v>0</v>
      </c>
    </row>
    <row r="14" s="29" customFormat="1" ht="13.4" outlineLevel="1" spans="1:83">
      <c r="B14" s="62">
        <v>3</v>
      </c>
      <c r="C14" s="62"/>
      <c r="D14" s="63"/>
      <c r="E14" s="63"/>
      <c r="F14" s="63"/>
      <c r="G14" s="64"/>
      <c r="H14" s="65"/>
      <c r="I14" s="66"/>
      <c r="J14" s="66">
        <f t="shared" si="4"/>
        <v>0</v>
      </c>
      <c r="K14" s="67"/>
      <c r="L14" s="67"/>
      <c r="M14" s="67"/>
      <c r="N14" s="67"/>
      <c r="O14" s="67"/>
      <c r="P14" s="68"/>
      <c r="Q14" s="68"/>
      <c r="R14" s="74"/>
      <c r="S14" s="67"/>
      <c r="T14" s="63"/>
      <c r="U14" s="69"/>
      <c r="V14" s="72"/>
      <c r="W14" s="72"/>
      <c r="X14" s="71"/>
      <c r="Y14" s="70"/>
      <c r="Z14" s="75"/>
      <c r="AA14" s="75"/>
      <c r="AB14" s="72"/>
      <c r="AC14" s="72"/>
      <c r="AD14" s="72"/>
      <c r="AE14" s="72"/>
      <c r="AF14" s="72"/>
      <c r="AG14" s="72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6">
        <f t="shared" si="5"/>
        <v>0</v>
      </c>
      <c r="AV14" s="73">
        <f t="shared" ref="AV14:CE14" si="8">$H14/K$9*K14</f>
        <v>0</v>
      </c>
      <c r="AW14" s="73">
        <f t="shared" si="8"/>
        <v>0</v>
      </c>
      <c r="AX14" s="73">
        <f t="shared" si="8"/>
        <v>0</v>
      </c>
      <c r="AY14" s="73">
        <f t="shared" si="8"/>
        <v>0</v>
      </c>
      <c r="AZ14" s="73">
        <f t="shared" si="8"/>
        <v>0</v>
      </c>
      <c r="BA14" s="73">
        <f t="shared" si="8"/>
        <v>0</v>
      </c>
      <c r="BB14" s="73">
        <f t="shared" si="8"/>
        <v>0</v>
      </c>
      <c r="BC14" s="73">
        <f t="shared" si="8"/>
        <v>0</v>
      </c>
      <c r="BD14" s="73">
        <f t="shared" si="8"/>
        <v>0</v>
      </c>
      <c r="BE14" s="73">
        <f t="shared" si="8"/>
        <v>0</v>
      </c>
      <c r="BF14" s="73">
        <f t="shared" si="8"/>
        <v>0</v>
      </c>
      <c r="BG14" s="73">
        <f t="shared" si="8"/>
        <v>0</v>
      </c>
      <c r="BH14" s="73">
        <f t="shared" si="8"/>
        <v>0</v>
      </c>
      <c r="BI14" s="73">
        <f t="shared" si="8"/>
        <v>0</v>
      </c>
      <c r="BJ14" s="73">
        <f t="shared" si="8"/>
        <v>0</v>
      </c>
      <c r="BK14" s="73">
        <f t="shared" si="8"/>
        <v>0</v>
      </c>
      <c r="BL14" s="73">
        <f t="shared" si="8"/>
        <v>0</v>
      </c>
      <c r="BM14" s="73">
        <f t="shared" si="8"/>
        <v>0</v>
      </c>
      <c r="BN14" s="73">
        <f t="shared" si="8"/>
        <v>0</v>
      </c>
      <c r="BO14" s="73">
        <f t="shared" si="8"/>
        <v>0</v>
      </c>
      <c r="BP14" s="73">
        <f t="shared" si="8"/>
        <v>0</v>
      </c>
      <c r="BQ14" s="73">
        <f t="shared" si="8"/>
        <v>0</v>
      </c>
      <c r="BR14" s="73">
        <f t="shared" si="8"/>
        <v>0</v>
      </c>
      <c r="BS14" s="73">
        <f t="shared" si="8"/>
        <v>0</v>
      </c>
      <c r="BT14" s="73">
        <f t="shared" si="8"/>
        <v>0</v>
      </c>
      <c r="BU14" s="73">
        <f t="shared" si="8"/>
        <v>0</v>
      </c>
      <c r="BV14" s="73">
        <f t="shared" si="8"/>
        <v>0</v>
      </c>
      <c r="BW14" s="73">
        <f t="shared" si="8"/>
        <v>0</v>
      </c>
      <c r="BX14" s="73">
        <f t="shared" si="8"/>
        <v>0</v>
      </c>
      <c r="BY14" s="73">
        <f t="shared" si="8"/>
        <v>0</v>
      </c>
      <c r="BZ14" s="73">
        <f t="shared" si="8"/>
        <v>0</v>
      </c>
      <c r="CA14" s="73">
        <f t="shared" si="8"/>
        <v>0</v>
      </c>
      <c r="CB14" s="73">
        <f t="shared" si="8"/>
        <v>0</v>
      </c>
      <c r="CC14" s="73">
        <f t="shared" si="8"/>
        <v>0</v>
      </c>
      <c r="CD14" s="73">
        <f t="shared" si="8"/>
        <v>0</v>
      </c>
      <c r="CE14" s="73">
        <f t="shared" si="8"/>
        <v>0</v>
      </c>
    </row>
    <row r="15" s="30" customFormat="1" ht="13.4" outlineLevel="1" spans="1:83">
      <c r="B15" s="62">
        <v>4</v>
      </c>
      <c r="C15" s="76"/>
      <c r="D15" s="63"/>
      <c r="E15" s="63"/>
      <c r="F15" s="63"/>
      <c r="G15" s="64"/>
      <c r="H15" s="65"/>
      <c r="I15" s="66"/>
      <c r="J15" s="66">
        <f t="shared" si="4"/>
        <v>0</v>
      </c>
      <c r="K15" s="67"/>
      <c r="L15" s="67"/>
      <c r="M15" s="67"/>
      <c r="N15" s="67"/>
      <c r="O15" s="67"/>
      <c r="P15" s="77"/>
      <c r="Q15" s="77"/>
      <c r="R15" s="77"/>
      <c r="S15" s="67"/>
      <c r="T15" s="63"/>
      <c r="U15" s="69"/>
      <c r="V15" s="75"/>
      <c r="W15" s="75"/>
      <c r="X15" s="71"/>
      <c r="Y15" s="69"/>
      <c r="Z15" s="75"/>
      <c r="AA15" s="75"/>
      <c r="AB15" s="75"/>
      <c r="AC15" s="75"/>
      <c r="AD15" s="75"/>
      <c r="AE15" s="75"/>
      <c r="AF15" s="75"/>
      <c r="AG15" s="75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66">
        <f t="shared" si="5"/>
        <v>0</v>
      </c>
      <c r="AV15" s="73">
        <f t="shared" ref="AV15:CE15" si="9">$H15/K$9*K15</f>
        <v>0</v>
      </c>
      <c r="AW15" s="73">
        <f t="shared" si="9"/>
        <v>0</v>
      </c>
      <c r="AX15" s="73">
        <f t="shared" si="9"/>
        <v>0</v>
      </c>
      <c r="AY15" s="73">
        <f t="shared" si="9"/>
        <v>0</v>
      </c>
      <c r="AZ15" s="73">
        <f t="shared" si="9"/>
        <v>0</v>
      </c>
      <c r="BA15" s="73">
        <f t="shared" si="9"/>
        <v>0</v>
      </c>
      <c r="BB15" s="73">
        <f t="shared" si="9"/>
        <v>0</v>
      </c>
      <c r="BC15" s="73">
        <f t="shared" si="9"/>
        <v>0</v>
      </c>
      <c r="BD15" s="73">
        <f t="shared" si="9"/>
        <v>0</v>
      </c>
      <c r="BE15" s="73">
        <f t="shared" si="9"/>
        <v>0</v>
      </c>
      <c r="BF15" s="73">
        <f t="shared" si="9"/>
        <v>0</v>
      </c>
      <c r="BG15" s="73">
        <f t="shared" si="9"/>
        <v>0</v>
      </c>
      <c r="BH15" s="73">
        <f t="shared" si="9"/>
        <v>0</v>
      </c>
      <c r="BI15" s="73">
        <f t="shared" si="9"/>
        <v>0</v>
      </c>
      <c r="BJ15" s="73">
        <f t="shared" si="9"/>
        <v>0</v>
      </c>
      <c r="BK15" s="73">
        <f t="shared" si="9"/>
        <v>0</v>
      </c>
      <c r="BL15" s="73">
        <f t="shared" si="9"/>
        <v>0</v>
      </c>
      <c r="BM15" s="73">
        <f t="shared" si="9"/>
        <v>0</v>
      </c>
      <c r="BN15" s="73">
        <f t="shared" si="9"/>
        <v>0</v>
      </c>
      <c r="BO15" s="73">
        <f t="shared" si="9"/>
        <v>0</v>
      </c>
      <c r="BP15" s="73">
        <f t="shared" si="9"/>
        <v>0</v>
      </c>
      <c r="BQ15" s="73">
        <f t="shared" si="9"/>
        <v>0</v>
      </c>
      <c r="BR15" s="73">
        <f t="shared" si="9"/>
        <v>0</v>
      </c>
      <c r="BS15" s="73">
        <f t="shared" si="9"/>
        <v>0</v>
      </c>
      <c r="BT15" s="73">
        <f t="shared" si="9"/>
        <v>0</v>
      </c>
      <c r="BU15" s="73">
        <f t="shared" si="9"/>
        <v>0</v>
      </c>
      <c r="BV15" s="73">
        <f t="shared" si="9"/>
        <v>0</v>
      </c>
      <c r="BW15" s="73">
        <f t="shared" si="9"/>
        <v>0</v>
      </c>
      <c r="BX15" s="73">
        <f t="shared" si="9"/>
        <v>0</v>
      </c>
      <c r="BY15" s="73">
        <f t="shared" si="9"/>
        <v>0</v>
      </c>
      <c r="BZ15" s="73">
        <f t="shared" si="9"/>
        <v>0</v>
      </c>
      <c r="CA15" s="73">
        <f t="shared" si="9"/>
        <v>0</v>
      </c>
      <c r="CB15" s="73">
        <f t="shared" si="9"/>
        <v>0</v>
      </c>
      <c r="CC15" s="73">
        <f t="shared" si="9"/>
        <v>0</v>
      </c>
      <c r="CD15" s="73">
        <f t="shared" si="9"/>
        <v>0</v>
      </c>
      <c r="CE15" s="73">
        <f t="shared" si="9"/>
        <v>0</v>
      </c>
    </row>
    <row r="16" s="29" customFormat="1" ht="13.4" outlineLevel="1" spans="1:83">
      <c r="B16" s="62">
        <v>5</v>
      </c>
      <c r="C16" s="62"/>
      <c r="D16" s="63"/>
      <c r="E16" s="63"/>
      <c r="F16" s="63"/>
      <c r="G16" s="64"/>
      <c r="H16" s="65"/>
      <c r="I16" s="66"/>
      <c r="J16" s="66">
        <f t="shared" si="4"/>
        <v>0</v>
      </c>
      <c r="K16" s="67"/>
      <c r="L16" s="67"/>
      <c r="M16" s="67"/>
      <c r="N16" s="67"/>
      <c r="O16" s="67"/>
      <c r="P16" s="68"/>
      <c r="Q16" s="68"/>
      <c r="R16" s="68"/>
      <c r="S16" s="67"/>
      <c r="T16" s="63"/>
      <c r="U16" s="69"/>
      <c r="V16" s="72"/>
      <c r="W16" s="72"/>
      <c r="X16" s="71"/>
      <c r="Y16" s="69"/>
      <c r="Z16" s="75"/>
      <c r="AA16" s="72"/>
      <c r="AB16" s="72"/>
      <c r="AC16" s="72"/>
      <c r="AD16" s="72"/>
      <c r="AE16" s="72"/>
      <c r="AF16" s="72"/>
      <c r="AG16" s="72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6">
        <f t="shared" si="5"/>
        <v>0</v>
      </c>
      <c r="AV16" s="73">
        <f t="shared" ref="AV16:CE16" si="10">$H16/K$9*K16</f>
        <v>0</v>
      </c>
      <c r="AW16" s="73">
        <f t="shared" si="10"/>
        <v>0</v>
      </c>
      <c r="AX16" s="73">
        <f t="shared" si="10"/>
        <v>0</v>
      </c>
      <c r="AY16" s="73">
        <f t="shared" si="10"/>
        <v>0</v>
      </c>
      <c r="AZ16" s="73">
        <f t="shared" si="10"/>
        <v>0</v>
      </c>
      <c r="BA16" s="73">
        <f t="shared" si="10"/>
        <v>0</v>
      </c>
      <c r="BB16" s="73">
        <f t="shared" si="10"/>
        <v>0</v>
      </c>
      <c r="BC16" s="73">
        <f t="shared" si="10"/>
        <v>0</v>
      </c>
      <c r="BD16" s="73">
        <f t="shared" si="10"/>
        <v>0</v>
      </c>
      <c r="BE16" s="73">
        <f t="shared" si="10"/>
        <v>0</v>
      </c>
      <c r="BF16" s="73">
        <f t="shared" si="10"/>
        <v>0</v>
      </c>
      <c r="BG16" s="73">
        <f t="shared" si="10"/>
        <v>0</v>
      </c>
      <c r="BH16" s="73">
        <f t="shared" si="10"/>
        <v>0</v>
      </c>
      <c r="BI16" s="73">
        <f t="shared" si="10"/>
        <v>0</v>
      </c>
      <c r="BJ16" s="73">
        <f t="shared" si="10"/>
        <v>0</v>
      </c>
      <c r="BK16" s="73">
        <f t="shared" si="10"/>
        <v>0</v>
      </c>
      <c r="BL16" s="73">
        <f t="shared" si="10"/>
        <v>0</v>
      </c>
      <c r="BM16" s="73">
        <f t="shared" si="10"/>
        <v>0</v>
      </c>
      <c r="BN16" s="73">
        <f t="shared" si="10"/>
        <v>0</v>
      </c>
      <c r="BO16" s="73">
        <f t="shared" si="10"/>
        <v>0</v>
      </c>
      <c r="BP16" s="73">
        <f t="shared" si="10"/>
        <v>0</v>
      </c>
      <c r="BQ16" s="73">
        <f t="shared" si="10"/>
        <v>0</v>
      </c>
      <c r="BR16" s="73">
        <f t="shared" si="10"/>
        <v>0</v>
      </c>
      <c r="BS16" s="73">
        <f t="shared" si="10"/>
        <v>0</v>
      </c>
      <c r="BT16" s="73">
        <f t="shared" si="10"/>
        <v>0</v>
      </c>
      <c r="BU16" s="73">
        <f t="shared" si="10"/>
        <v>0</v>
      </c>
      <c r="BV16" s="73">
        <f t="shared" si="10"/>
        <v>0</v>
      </c>
      <c r="BW16" s="73">
        <f t="shared" si="10"/>
        <v>0</v>
      </c>
      <c r="BX16" s="73">
        <f t="shared" si="10"/>
        <v>0</v>
      </c>
      <c r="BY16" s="73">
        <f t="shared" si="10"/>
        <v>0</v>
      </c>
      <c r="BZ16" s="73">
        <f t="shared" si="10"/>
        <v>0</v>
      </c>
      <c r="CA16" s="73">
        <f t="shared" si="10"/>
        <v>0</v>
      </c>
      <c r="CB16" s="73">
        <f t="shared" si="10"/>
        <v>0</v>
      </c>
      <c r="CC16" s="73">
        <f t="shared" si="10"/>
        <v>0</v>
      </c>
      <c r="CD16" s="73">
        <f t="shared" si="10"/>
        <v>0</v>
      </c>
      <c r="CE16" s="73">
        <f t="shared" si="10"/>
        <v>0</v>
      </c>
    </row>
    <row r="17" s="30" customFormat="1" ht="13.4" outlineLevel="1" spans="2:83">
      <c r="B17" s="62">
        <v>6</v>
      </c>
      <c r="C17" s="76"/>
      <c r="D17" s="63"/>
      <c r="E17" s="63"/>
      <c r="F17" s="63"/>
      <c r="G17" s="64"/>
      <c r="H17" s="65"/>
      <c r="I17" s="66"/>
      <c r="J17" s="66">
        <f t="shared" si="4"/>
        <v>0</v>
      </c>
      <c r="K17" s="67"/>
      <c r="L17" s="67"/>
      <c r="M17" s="67"/>
      <c r="N17" s="67"/>
      <c r="O17" s="67"/>
      <c r="P17" s="77"/>
      <c r="Q17" s="77"/>
      <c r="R17" s="77"/>
      <c r="S17" s="67"/>
      <c r="T17" s="63"/>
      <c r="U17" s="70"/>
      <c r="V17" s="75"/>
      <c r="W17" s="75"/>
      <c r="X17" s="71"/>
      <c r="Y17" s="69"/>
      <c r="Z17" s="75"/>
      <c r="AA17" s="75"/>
      <c r="AB17" s="75"/>
      <c r="AC17" s="75"/>
      <c r="AD17" s="75"/>
      <c r="AE17" s="75"/>
      <c r="AF17" s="75"/>
      <c r="AG17" s="75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66">
        <f t="shared" si="5"/>
        <v>0</v>
      </c>
      <c r="AV17" s="73">
        <f t="shared" ref="AV17:CE17" si="11">$H17/K$9*K17</f>
        <v>0</v>
      </c>
      <c r="AW17" s="73">
        <f t="shared" si="11"/>
        <v>0</v>
      </c>
      <c r="AX17" s="73">
        <f t="shared" si="11"/>
        <v>0</v>
      </c>
      <c r="AY17" s="73">
        <f t="shared" si="11"/>
        <v>0</v>
      </c>
      <c r="AZ17" s="73">
        <f t="shared" si="11"/>
        <v>0</v>
      </c>
      <c r="BA17" s="73">
        <f t="shared" si="11"/>
        <v>0</v>
      </c>
      <c r="BB17" s="73">
        <f t="shared" si="11"/>
        <v>0</v>
      </c>
      <c r="BC17" s="73">
        <f t="shared" si="11"/>
        <v>0</v>
      </c>
      <c r="BD17" s="73">
        <f t="shared" si="11"/>
        <v>0</v>
      </c>
      <c r="BE17" s="73">
        <f t="shared" si="11"/>
        <v>0</v>
      </c>
      <c r="BF17" s="73">
        <f t="shared" si="11"/>
        <v>0</v>
      </c>
      <c r="BG17" s="73">
        <f t="shared" si="11"/>
        <v>0</v>
      </c>
      <c r="BH17" s="73">
        <f t="shared" si="11"/>
        <v>0</v>
      </c>
      <c r="BI17" s="73">
        <f t="shared" si="11"/>
        <v>0</v>
      </c>
      <c r="BJ17" s="73">
        <f t="shared" si="11"/>
        <v>0</v>
      </c>
      <c r="BK17" s="73">
        <f t="shared" si="11"/>
        <v>0</v>
      </c>
      <c r="BL17" s="73">
        <f t="shared" si="11"/>
        <v>0</v>
      </c>
      <c r="BM17" s="73">
        <f t="shared" si="11"/>
        <v>0</v>
      </c>
      <c r="BN17" s="73">
        <f t="shared" si="11"/>
        <v>0</v>
      </c>
      <c r="BO17" s="73">
        <f t="shared" si="11"/>
        <v>0</v>
      </c>
      <c r="BP17" s="73">
        <f t="shared" si="11"/>
        <v>0</v>
      </c>
      <c r="BQ17" s="73">
        <f t="shared" si="11"/>
        <v>0</v>
      </c>
      <c r="BR17" s="73">
        <f t="shared" si="11"/>
        <v>0</v>
      </c>
      <c r="BS17" s="73">
        <f t="shared" si="11"/>
        <v>0</v>
      </c>
      <c r="BT17" s="73">
        <f t="shared" si="11"/>
        <v>0</v>
      </c>
      <c r="BU17" s="73">
        <f t="shared" si="11"/>
        <v>0</v>
      </c>
      <c r="BV17" s="73">
        <f t="shared" si="11"/>
        <v>0</v>
      </c>
      <c r="BW17" s="73">
        <f t="shared" si="11"/>
        <v>0</v>
      </c>
      <c r="BX17" s="73">
        <f t="shared" si="11"/>
        <v>0</v>
      </c>
      <c r="BY17" s="73">
        <f t="shared" si="11"/>
        <v>0</v>
      </c>
      <c r="BZ17" s="73">
        <f t="shared" si="11"/>
        <v>0</v>
      </c>
      <c r="CA17" s="73">
        <f t="shared" si="11"/>
        <v>0</v>
      </c>
      <c r="CB17" s="73">
        <f t="shared" si="11"/>
        <v>0</v>
      </c>
      <c r="CC17" s="73">
        <f t="shared" si="11"/>
        <v>0</v>
      </c>
      <c r="CD17" s="73">
        <f t="shared" si="11"/>
        <v>0</v>
      </c>
      <c r="CE17" s="73">
        <f t="shared" si="11"/>
        <v>0</v>
      </c>
    </row>
    <row r="18" s="29" customFormat="1" ht="13.4" outlineLevel="1" spans="2:83">
      <c r="B18" s="62">
        <v>7</v>
      </c>
      <c r="C18" s="62"/>
      <c r="D18" s="63"/>
      <c r="E18" s="63"/>
      <c r="F18" s="63"/>
      <c r="G18" s="64"/>
      <c r="H18" s="65"/>
      <c r="I18" s="66"/>
      <c r="J18" s="66">
        <f t="shared" si="4"/>
        <v>0</v>
      </c>
      <c r="K18" s="67"/>
      <c r="L18" s="67"/>
      <c r="M18" s="67"/>
      <c r="N18" s="67"/>
      <c r="O18" s="67"/>
      <c r="P18" s="68"/>
      <c r="Q18" s="68"/>
      <c r="R18" s="68"/>
      <c r="S18" s="72"/>
      <c r="T18" s="63"/>
      <c r="U18" s="72"/>
      <c r="V18" s="72"/>
      <c r="W18" s="72"/>
      <c r="X18" s="71"/>
      <c r="Y18" s="70"/>
      <c r="Z18" s="75"/>
      <c r="AA18" s="72"/>
      <c r="AB18" s="72"/>
      <c r="AC18" s="72"/>
      <c r="AD18" s="72"/>
      <c r="AE18" s="72"/>
      <c r="AF18" s="72"/>
      <c r="AG18" s="72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6">
        <f t="shared" si="5"/>
        <v>0</v>
      </c>
      <c r="AV18" s="73">
        <f t="shared" ref="AV18:CE18" si="12">$H18/K$9*K18</f>
        <v>0</v>
      </c>
      <c r="AW18" s="73">
        <f t="shared" si="12"/>
        <v>0</v>
      </c>
      <c r="AX18" s="73">
        <f t="shared" si="12"/>
        <v>0</v>
      </c>
      <c r="AY18" s="73">
        <f t="shared" si="12"/>
        <v>0</v>
      </c>
      <c r="AZ18" s="73">
        <f t="shared" si="12"/>
        <v>0</v>
      </c>
      <c r="BA18" s="73">
        <f t="shared" si="12"/>
        <v>0</v>
      </c>
      <c r="BB18" s="73">
        <f t="shared" si="12"/>
        <v>0</v>
      </c>
      <c r="BC18" s="73">
        <f t="shared" si="12"/>
        <v>0</v>
      </c>
      <c r="BD18" s="73">
        <f t="shared" si="12"/>
        <v>0</v>
      </c>
      <c r="BE18" s="73">
        <f t="shared" si="12"/>
        <v>0</v>
      </c>
      <c r="BF18" s="73">
        <f t="shared" si="12"/>
        <v>0</v>
      </c>
      <c r="BG18" s="73">
        <f t="shared" si="12"/>
        <v>0</v>
      </c>
      <c r="BH18" s="73">
        <f t="shared" si="12"/>
        <v>0</v>
      </c>
      <c r="BI18" s="73">
        <f t="shared" si="12"/>
        <v>0</v>
      </c>
      <c r="BJ18" s="73">
        <f t="shared" si="12"/>
        <v>0</v>
      </c>
      <c r="BK18" s="73">
        <f t="shared" si="12"/>
        <v>0</v>
      </c>
      <c r="BL18" s="73">
        <f t="shared" si="12"/>
        <v>0</v>
      </c>
      <c r="BM18" s="73">
        <f t="shared" si="12"/>
        <v>0</v>
      </c>
      <c r="BN18" s="73">
        <f t="shared" si="12"/>
        <v>0</v>
      </c>
      <c r="BO18" s="73">
        <f t="shared" si="12"/>
        <v>0</v>
      </c>
      <c r="BP18" s="73">
        <f t="shared" si="12"/>
        <v>0</v>
      </c>
      <c r="BQ18" s="73">
        <f t="shared" si="12"/>
        <v>0</v>
      </c>
      <c r="BR18" s="73">
        <f t="shared" si="12"/>
        <v>0</v>
      </c>
      <c r="BS18" s="73">
        <f t="shared" si="12"/>
        <v>0</v>
      </c>
      <c r="BT18" s="73">
        <f t="shared" si="12"/>
        <v>0</v>
      </c>
      <c r="BU18" s="73">
        <f t="shared" si="12"/>
        <v>0</v>
      </c>
      <c r="BV18" s="73">
        <f t="shared" si="12"/>
        <v>0</v>
      </c>
      <c r="BW18" s="73">
        <f t="shared" si="12"/>
        <v>0</v>
      </c>
      <c r="BX18" s="73">
        <f t="shared" si="12"/>
        <v>0</v>
      </c>
      <c r="BY18" s="73">
        <f t="shared" si="12"/>
        <v>0</v>
      </c>
      <c r="BZ18" s="73">
        <f t="shared" si="12"/>
        <v>0</v>
      </c>
      <c r="CA18" s="73">
        <f t="shared" si="12"/>
        <v>0</v>
      </c>
      <c r="CB18" s="73">
        <f t="shared" si="12"/>
        <v>0</v>
      </c>
      <c r="CC18" s="73">
        <f t="shared" si="12"/>
        <v>0</v>
      </c>
      <c r="CD18" s="73">
        <f t="shared" si="12"/>
        <v>0</v>
      </c>
      <c r="CE18" s="73">
        <f t="shared" si="12"/>
        <v>0</v>
      </c>
    </row>
    <row r="19" s="29" customFormat="1" ht="13.4" outlineLevel="1" spans="2:83">
      <c r="B19" s="62">
        <v>8</v>
      </c>
      <c r="C19" s="76"/>
      <c r="D19" s="63"/>
      <c r="E19" s="63"/>
      <c r="F19" s="63"/>
      <c r="G19" s="64"/>
      <c r="H19" s="65"/>
      <c r="I19" s="66"/>
      <c r="J19" s="66">
        <f t="shared" si="4"/>
        <v>0</v>
      </c>
      <c r="K19" s="67"/>
      <c r="L19" s="67"/>
      <c r="M19" s="67"/>
      <c r="N19" s="67"/>
      <c r="O19" s="67"/>
      <c r="P19" s="68"/>
      <c r="Q19" s="68"/>
      <c r="R19" s="68"/>
      <c r="S19" s="68"/>
      <c r="T19" s="63"/>
      <c r="U19" s="72"/>
      <c r="V19" s="72"/>
      <c r="W19" s="72"/>
      <c r="X19" s="72"/>
      <c r="Y19" s="71"/>
      <c r="Z19" s="72"/>
      <c r="AA19" s="72"/>
      <c r="AB19" s="72"/>
      <c r="AC19" s="72"/>
      <c r="AD19" s="72"/>
      <c r="AE19" s="72"/>
      <c r="AF19" s="72"/>
      <c r="AG19" s="72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6">
        <f t="shared" si="5"/>
        <v>0</v>
      </c>
      <c r="AV19" s="73">
        <f t="shared" ref="AV19:CE19" si="13">$H19/K$9*K19</f>
        <v>0</v>
      </c>
      <c r="AW19" s="73">
        <f t="shared" si="13"/>
        <v>0</v>
      </c>
      <c r="AX19" s="73">
        <f t="shared" si="13"/>
        <v>0</v>
      </c>
      <c r="AY19" s="73">
        <f t="shared" si="13"/>
        <v>0</v>
      </c>
      <c r="AZ19" s="73">
        <f t="shared" si="13"/>
        <v>0</v>
      </c>
      <c r="BA19" s="73">
        <f t="shared" si="13"/>
        <v>0</v>
      </c>
      <c r="BB19" s="73">
        <f t="shared" si="13"/>
        <v>0</v>
      </c>
      <c r="BC19" s="73">
        <f t="shared" si="13"/>
        <v>0</v>
      </c>
      <c r="BD19" s="73">
        <f t="shared" si="13"/>
        <v>0</v>
      </c>
      <c r="BE19" s="73">
        <f t="shared" si="13"/>
        <v>0</v>
      </c>
      <c r="BF19" s="73">
        <f t="shared" si="13"/>
        <v>0</v>
      </c>
      <c r="BG19" s="73">
        <f t="shared" si="13"/>
        <v>0</v>
      </c>
      <c r="BH19" s="73">
        <f t="shared" si="13"/>
        <v>0</v>
      </c>
      <c r="BI19" s="73">
        <f t="shared" si="13"/>
        <v>0</v>
      </c>
      <c r="BJ19" s="73">
        <f t="shared" si="13"/>
        <v>0</v>
      </c>
      <c r="BK19" s="73">
        <f t="shared" si="13"/>
        <v>0</v>
      </c>
      <c r="BL19" s="73">
        <f t="shared" si="13"/>
        <v>0</v>
      </c>
      <c r="BM19" s="73">
        <f t="shared" si="13"/>
        <v>0</v>
      </c>
      <c r="BN19" s="73">
        <f t="shared" si="13"/>
        <v>0</v>
      </c>
      <c r="BO19" s="73">
        <f t="shared" si="13"/>
        <v>0</v>
      </c>
      <c r="BP19" s="73">
        <f t="shared" si="13"/>
        <v>0</v>
      </c>
      <c r="BQ19" s="73">
        <f t="shared" si="13"/>
        <v>0</v>
      </c>
      <c r="BR19" s="73">
        <f t="shared" si="13"/>
        <v>0</v>
      </c>
      <c r="BS19" s="73">
        <f t="shared" si="13"/>
        <v>0</v>
      </c>
      <c r="BT19" s="73">
        <f t="shared" si="13"/>
        <v>0</v>
      </c>
      <c r="BU19" s="73">
        <f t="shared" si="13"/>
        <v>0</v>
      </c>
      <c r="BV19" s="73">
        <f t="shared" si="13"/>
        <v>0</v>
      </c>
      <c r="BW19" s="73">
        <f t="shared" si="13"/>
        <v>0</v>
      </c>
      <c r="BX19" s="73">
        <f t="shared" si="13"/>
        <v>0</v>
      </c>
      <c r="BY19" s="73">
        <f t="shared" si="13"/>
        <v>0</v>
      </c>
      <c r="BZ19" s="73">
        <f t="shared" si="13"/>
        <v>0</v>
      </c>
      <c r="CA19" s="73">
        <f t="shared" si="13"/>
        <v>0</v>
      </c>
      <c r="CB19" s="73">
        <f t="shared" si="13"/>
        <v>0</v>
      </c>
      <c r="CC19" s="73">
        <f t="shared" si="13"/>
        <v>0</v>
      </c>
      <c r="CD19" s="73">
        <f t="shared" si="13"/>
        <v>0</v>
      </c>
      <c r="CE19" s="73">
        <f t="shared" si="13"/>
        <v>0</v>
      </c>
    </row>
    <row r="20" s="29" customFormat="1" ht="13.4" outlineLevel="1" spans="2:83">
      <c r="B20" s="62">
        <v>9</v>
      </c>
      <c r="C20" s="76"/>
      <c r="D20" s="63"/>
      <c r="E20" s="63"/>
      <c r="F20" s="63"/>
      <c r="G20" s="64"/>
      <c r="H20" s="65"/>
      <c r="I20" s="66"/>
      <c r="J20" s="66">
        <f t="shared" si="4"/>
        <v>0</v>
      </c>
      <c r="K20" s="67"/>
      <c r="L20" s="67"/>
      <c r="M20" s="67"/>
      <c r="N20" s="67"/>
      <c r="O20" s="67"/>
      <c r="P20" s="68"/>
      <c r="Q20" s="68"/>
      <c r="R20" s="74"/>
      <c r="S20" s="74"/>
      <c r="T20" s="74"/>
      <c r="U20" s="71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6">
        <f t="shared" si="5"/>
        <v>0</v>
      </c>
      <c r="AV20" s="73">
        <f t="shared" ref="AV20:CE20" si="14">$H20/K$9*K20</f>
        <v>0</v>
      </c>
      <c r="AW20" s="73">
        <f t="shared" si="14"/>
        <v>0</v>
      </c>
      <c r="AX20" s="73">
        <f t="shared" si="14"/>
        <v>0</v>
      </c>
      <c r="AY20" s="73">
        <f t="shared" si="14"/>
        <v>0</v>
      </c>
      <c r="AZ20" s="73">
        <f t="shared" si="14"/>
        <v>0</v>
      </c>
      <c r="BA20" s="73">
        <f t="shared" si="14"/>
        <v>0</v>
      </c>
      <c r="BB20" s="73">
        <f t="shared" si="14"/>
        <v>0</v>
      </c>
      <c r="BC20" s="73">
        <f t="shared" si="14"/>
        <v>0</v>
      </c>
      <c r="BD20" s="73">
        <f t="shared" si="14"/>
        <v>0</v>
      </c>
      <c r="BE20" s="73">
        <f t="shared" si="14"/>
        <v>0</v>
      </c>
      <c r="BF20" s="73">
        <f t="shared" si="14"/>
        <v>0</v>
      </c>
      <c r="BG20" s="73">
        <f t="shared" si="14"/>
        <v>0</v>
      </c>
      <c r="BH20" s="73">
        <f t="shared" si="14"/>
        <v>0</v>
      </c>
      <c r="BI20" s="73">
        <f t="shared" si="14"/>
        <v>0</v>
      </c>
      <c r="BJ20" s="73">
        <f t="shared" si="14"/>
        <v>0</v>
      </c>
      <c r="BK20" s="73">
        <f t="shared" si="14"/>
        <v>0</v>
      </c>
      <c r="BL20" s="73">
        <f t="shared" si="14"/>
        <v>0</v>
      </c>
      <c r="BM20" s="73">
        <f t="shared" si="14"/>
        <v>0</v>
      </c>
      <c r="BN20" s="73">
        <f t="shared" si="14"/>
        <v>0</v>
      </c>
      <c r="BO20" s="73">
        <f t="shared" si="14"/>
        <v>0</v>
      </c>
      <c r="BP20" s="73">
        <f t="shared" si="14"/>
        <v>0</v>
      </c>
      <c r="BQ20" s="73">
        <f t="shared" si="14"/>
        <v>0</v>
      </c>
      <c r="BR20" s="73">
        <f t="shared" si="14"/>
        <v>0</v>
      </c>
      <c r="BS20" s="73">
        <f t="shared" si="14"/>
        <v>0</v>
      </c>
      <c r="BT20" s="73">
        <f t="shared" si="14"/>
        <v>0</v>
      </c>
      <c r="BU20" s="73">
        <f t="shared" si="14"/>
        <v>0</v>
      </c>
      <c r="BV20" s="73">
        <f t="shared" si="14"/>
        <v>0</v>
      </c>
      <c r="BW20" s="73">
        <f t="shared" si="14"/>
        <v>0</v>
      </c>
      <c r="BX20" s="73">
        <f t="shared" si="14"/>
        <v>0</v>
      </c>
      <c r="BY20" s="73">
        <f t="shared" si="14"/>
        <v>0</v>
      </c>
      <c r="BZ20" s="73">
        <f t="shared" si="14"/>
        <v>0</v>
      </c>
      <c r="CA20" s="73">
        <f t="shared" si="14"/>
        <v>0</v>
      </c>
      <c r="CB20" s="73">
        <f t="shared" si="14"/>
        <v>0</v>
      </c>
      <c r="CC20" s="73">
        <f t="shared" si="14"/>
        <v>0</v>
      </c>
      <c r="CD20" s="73">
        <f t="shared" si="14"/>
        <v>0</v>
      </c>
      <c r="CE20" s="73">
        <f t="shared" si="14"/>
        <v>0</v>
      </c>
    </row>
    <row r="21" s="29" customFormat="1" ht="13.4" outlineLevel="1" spans="2:83">
      <c r="B21" s="62">
        <v>10</v>
      </c>
      <c r="C21" s="62"/>
      <c r="D21" s="63"/>
      <c r="E21" s="63"/>
      <c r="F21" s="63"/>
      <c r="G21" s="64"/>
      <c r="H21" s="65"/>
      <c r="I21" s="66"/>
      <c r="J21" s="66">
        <f t="shared" si="4"/>
        <v>0</v>
      </c>
      <c r="K21" s="67"/>
      <c r="L21" s="67"/>
      <c r="M21" s="67"/>
      <c r="N21" s="67"/>
      <c r="O21" s="67"/>
      <c r="P21" s="68"/>
      <c r="Q21" s="68"/>
      <c r="R21" s="68"/>
      <c r="S21" s="68"/>
      <c r="T21" s="6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6">
        <f t="shared" si="5"/>
        <v>0</v>
      </c>
      <c r="AV21" s="73">
        <f t="shared" ref="AV21:CE21" si="15">$H21/K$9*K21</f>
        <v>0</v>
      </c>
      <c r="AW21" s="73">
        <f t="shared" si="15"/>
        <v>0</v>
      </c>
      <c r="AX21" s="73">
        <f t="shared" si="15"/>
        <v>0</v>
      </c>
      <c r="AY21" s="73">
        <f t="shared" si="15"/>
        <v>0</v>
      </c>
      <c r="AZ21" s="73">
        <f t="shared" si="15"/>
        <v>0</v>
      </c>
      <c r="BA21" s="73">
        <f t="shared" si="15"/>
        <v>0</v>
      </c>
      <c r="BB21" s="73">
        <f t="shared" si="15"/>
        <v>0</v>
      </c>
      <c r="BC21" s="73">
        <f t="shared" si="15"/>
        <v>0</v>
      </c>
      <c r="BD21" s="73">
        <f t="shared" si="15"/>
        <v>0</v>
      </c>
      <c r="BE21" s="73">
        <f t="shared" si="15"/>
        <v>0</v>
      </c>
      <c r="BF21" s="73">
        <f t="shared" si="15"/>
        <v>0</v>
      </c>
      <c r="BG21" s="73">
        <f t="shared" si="15"/>
        <v>0</v>
      </c>
      <c r="BH21" s="73">
        <f t="shared" si="15"/>
        <v>0</v>
      </c>
      <c r="BI21" s="73">
        <f t="shared" si="15"/>
        <v>0</v>
      </c>
      <c r="BJ21" s="73">
        <f t="shared" si="15"/>
        <v>0</v>
      </c>
      <c r="BK21" s="73">
        <f t="shared" si="15"/>
        <v>0</v>
      </c>
      <c r="BL21" s="73">
        <f t="shared" si="15"/>
        <v>0</v>
      </c>
      <c r="BM21" s="73">
        <f t="shared" si="15"/>
        <v>0</v>
      </c>
      <c r="BN21" s="73">
        <f t="shared" si="15"/>
        <v>0</v>
      </c>
      <c r="BO21" s="73">
        <f t="shared" si="15"/>
        <v>0</v>
      </c>
      <c r="BP21" s="73">
        <f t="shared" si="15"/>
        <v>0</v>
      </c>
      <c r="BQ21" s="73">
        <f t="shared" si="15"/>
        <v>0</v>
      </c>
      <c r="BR21" s="73">
        <f t="shared" si="15"/>
        <v>0</v>
      </c>
      <c r="BS21" s="73">
        <f t="shared" si="15"/>
        <v>0</v>
      </c>
      <c r="BT21" s="73">
        <f t="shared" si="15"/>
        <v>0</v>
      </c>
      <c r="BU21" s="73">
        <f t="shared" si="15"/>
        <v>0</v>
      </c>
      <c r="BV21" s="73">
        <f t="shared" si="15"/>
        <v>0</v>
      </c>
      <c r="BW21" s="73">
        <f t="shared" si="15"/>
        <v>0</v>
      </c>
      <c r="BX21" s="73">
        <f t="shared" si="15"/>
        <v>0</v>
      </c>
      <c r="BY21" s="73">
        <f t="shared" si="15"/>
        <v>0</v>
      </c>
      <c r="BZ21" s="73">
        <f t="shared" si="15"/>
        <v>0</v>
      </c>
      <c r="CA21" s="73">
        <f t="shared" si="15"/>
        <v>0</v>
      </c>
      <c r="CB21" s="73">
        <f t="shared" si="15"/>
        <v>0</v>
      </c>
      <c r="CC21" s="73">
        <f t="shared" si="15"/>
        <v>0</v>
      </c>
      <c r="CD21" s="73">
        <f t="shared" si="15"/>
        <v>0</v>
      </c>
      <c r="CE21" s="73">
        <f t="shared" si="15"/>
        <v>0</v>
      </c>
    </row>
    <row r="22" s="29" customFormat="1" ht="13.4" outlineLevel="1" spans="2:83">
      <c r="B22" s="62">
        <v>11</v>
      </c>
      <c r="C22" s="76"/>
      <c r="D22" s="63"/>
      <c r="E22" s="63"/>
      <c r="F22" s="63"/>
      <c r="G22" s="64"/>
      <c r="H22" s="65"/>
      <c r="I22" s="66"/>
      <c r="J22" s="66">
        <f t="shared" si="4"/>
        <v>0</v>
      </c>
      <c r="K22" s="67"/>
      <c r="L22" s="67"/>
      <c r="M22" s="67"/>
      <c r="N22" s="67"/>
      <c r="O22" s="67"/>
      <c r="P22" s="68"/>
      <c r="Q22" s="68"/>
      <c r="R22" s="68"/>
      <c r="S22" s="68"/>
      <c r="T22" s="68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6">
        <f t="shared" si="5"/>
        <v>0</v>
      </c>
      <c r="AV22" s="73">
        <f t="shared" ref="AV22:CE22" si="16">$H22/K$9*K22</f>
        <v>0</v>
      </c>
      <c r="AW22" s="73">
        <f t="shared" si="16"/>
        <v>0</v>
      </c>
      <c r="AX22" s="73">
        <f t="shared" si="16"/>
        <v>0</v>
      </c>
      <c r="AY22" s="73">
        <f t="shared" si="16"/>
        <v>0</v>
      </c>
      <c r="AZ22" s="73">
        <f t="shared" si="16"/>
        <v>0</v>
      </c>
      <c r="BA22" s="73">
        <f t="shared" si="16"/>
        <v>0</v>
      </c>
      <c r="BB22" s="73">
        <f t="shared" si="16"/>
        <v>0</v>
      </c>
      <c r="BC22" s="73">
        <f t="shared" si="16"/>
        <v>0</v>
      </c>
      <c r="BD22" s="73">
        <f t="shared" si="16"/>
        <v>0</v>
      </c>
      <c r="BE22" s="73">
        <f t="shared" si="16"/>
        <v>0</v>
      </c>
      <c r="BF22" s="73">
        <f t="shared" si="16"/>
        <v>0</v>
      </c>
      <c r="BG22" s="73">
        <f t="shared" si="16"/>
        <v>0</v>
      </c>
      <c r="BH22" s="73">
        <f t="shared" si="16"/>
        <v>0</v>
      </c>
      <c r="BI22" s="73">
        <f t="shared" si="16"/>
        <v>0</v>
      </c>
      <c r="BJ22" s="73">
        <f t="shared" si="16"/>
        <v>0</v>
      </c>
      <c r="BK22" s="73">
        <f t="shared" si="16"/>
        <v>0</v>
      </c>
      <c r="BL22" s="73">
        <f t="shared" si="16"/>
        <v>0</v>
      </c>
      <c r="BM22" s="73">
        <f t="shared" si="16"/>
        <v>0</v>
      </c>
      <c r="BN22" s="73">
        <f t="shared" si="16"/>
        <v>0</v>
      </c>
      <c r="BO22" s="73">
        <f t="shared" si="16"/>
        <v>0</v>
      </c>
      <c r="BP22" s="73">
        <f t="shared" si="16"/>
        <v>0</v>
      </c>
      <c r="BQ22" s="73">
        <f t="shared" si="16"/>
        <v>0</v>
      </c>
      <c r="BR22" s="73">
        <f t="shared" si="16"/>
        <v>0</v>
      </c>
      <c r="BS22" s="73">
        <f t="shared" si="16"/>
        <v>0</v>
      </c>
      <c r="BT22" s="73">
        <f t="shared" si="16"/>
        <v>0</v>
      </c>
      <c r="BU22" s="73">
        <f t="shared" si="16"/>
        <v>0</v>
      </c>
      <c r="BV22" s="73">
        <f t="shared" si="16"/>
        <v>0</v>
      </c>
      <c r="BW22" s="73">
        <f t="shared" si="16"/>
        <v>0</v>
      </c>
      <c r="BX22" s="73">
        <f t="shared" si="16"/>
        <v>0</v>
      </c>
      <c r="BY22" s="73">
        <f t="shared" si="16"/>
        <v>0</v>
      </c>
      <c r="BZ22" s="73">
        <f t="shared" si="16"/>
        <v>0</v>
      </c>
      <c r="CA22" s="73">
        <f t="shared" si="16"/>
        <v>0</v>
      </c>
      <c r="CB22" s="73">
        <f t="shared" si="16"/>
        <v>0</v>
      </c>
      <c r="CC22" s="73">
        <f t="shared" si="16"/>
        <v>0</v>
      </c>
      <c r="CD22" s="73">
        <f t="shared" si="16"/>
        <v>0</v>
      </c>
      <c r="CE22" s="73">
        <f t="shared" si="16"/>
        <v>0</v>
      </c>
    </row>
    <row r="23" s="29" customFormat="1" ht="13.4" outlineLevel="1" spans="2:83">
      <c r="B23" s="62">
        <v>12</v>
      </c>
      <c r="C23" s="62"/>
      <c r="D23" s="63"/>
      <c r="E23" s="63"/>
      <c r="F23" s="63"/>
      <c r="G23" s="64"/>
      <c r="H23" s="65"/>
      <c r="I23" s="66"/>
      <c r="J23" s="66">
        <f t="shared" si="4"/>
        <v>0</v>
      </c>
      <c r="K23" s="67"/>
      <c r="L23" s="67"/>
      <c r="M23" s="67"/>
      <c r="N23" s="67"/>
      <c r="O23" s="67"/>
      <c r="P23" s="68"/>
      <c r="Q23" s="68"/>
      <c r="R23" s="68"/>
      <c r="S23" s="68"/>
      <c r="T23" s="68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6">
        <f t="shared" si="5"/>
        <v>0</v>
      </c>
      <c r="AV23" s="73">
        <f t="shared" ref="AV23:CE23" si="17">$H23/K$9*K23</f>
        <v>0</v>
      </c>
      <c r="AW23" s="73">
        <f t="shared" si="17"/>
        <v>0</v>
      </c>
      <c r="AX23" s="73">
        <f t="shared" si="17"/>
        <v>0</v>
      </c>
      <c r="AY23" s="73">
        <f t="shared" si="17"/>
        <v>0</v>
      </c>
      <c r="AZ23" s="73">
        <f t="shared" si="17"/>
        <v>0</v>
      </c>
      <c r="BA23" s="73">
        <f t="shared" si="17"/>
        <v>0</v>
      </c>
      <c r="BB23" s="73">
        <f t="shared" si="17"/>
        <v>0</v>
      </c>
      <c r="BC23" s="73">
        <f t="shared" si="17"/>
        <v>0</v>
      </c>
      <c r="BD23" s="73">
        <f t="shared" si="17"/>
        <v>0</v>
      </c>
      <c r="BE23" s="73">
        <f t="shared" si="17"/>
        <v>0</v>
      </c>
      <c r="BF23" s="73">
        <f t="shared" si="17"/>
        <v>0</v>
      </c>
      <c r="BG23" s="73">
        <f t="shared" si="17"/>
        <v>0</v>
      </c>
      <c r="BH23" s="73">
        <f t="shared" si="17"/>
        <v>0</v>
      </c>
      <c r="BI23" s="73">
        <f t="shared" si="17"/>
        <v>0</v>
      </c>
      <c r="BJ23" s="73">
        <f t="shared" si="17"/>
        <v>0</v>
      </c>
      <c r="BK23" s="73">
        <f t="shared" si="17"/>
        <v>0</v>
      </c>
      <c r="BL23" s="73">
        <f t="shared" si="17"/>
        <v>0</v>
      </c>
      <c r="BM23" s="73">
        <f t="shared" si="17"/>
        <v>0</v>
      </c>
      <c r="BN23" s="73">
        <f t="shared" si="17"/>
        <v>0</v>
      </c>
      <c r="BO23" s="73">
        <f t="shared" si="17"/>
        <v>0</v>
      </c>
      <c r="BP23" s="73">
        <f t="shared" si="17"/>
        <v>0</v>
      </c>
      <c r="BQ23" s="73">
        <f t="shared" si="17"/>
        <v>0</v>
      </c>
      <c r="BR23" s="73">
        <f t="shared" si="17"/>
        <v>0</v>
      </c>
      <c r="BS23" s="73">
        <f t="shared" si="17"/>
        <v>0</v>
      </c>
      <c r="BT23" s="73">
        <f t="shared" si="17"/>
        <v>0</v>
      </c>
      <c r="BU23" s="73">
        <f t="shared" si="17"/>
        <v>0</v>
      </c>
      <c r="BV23" s="73">
        <f t="shared" si="17"/>
        <v>0</v>
      </c>
      <c r="BW23" s="73">
        <f t="shared" si="17"/>
        <v>0</v>
      </c>
      <c r="BX23" s="73">
        <f t="shared" si="17"/>
        <v>0</v>
      </c>
      <c r="BY23" s="73">
        <f t="shared" si="17"/>
        <v>0</v>
      </c>
      <c r="BZ23" s="73">
        <f t="shared" si="17"/>
        <v>0</v>
      </c>
      <c r="CA23" s="73">
        <f t="shared" si="17"/>
        <v>0</v>
      </c>
      <c r="CB23" s="73">
        <f t="shared" si="17"/>
        <v>0</v>
      </c>
      <c r="CC23" s="73">
        <f t="shared" si="17"/>
        <v>0</v>
      </c>
      <c r="CD23" s="73">
        <f t="shared" si="17"/>
        <v>0</v>
      </c>
      <c r="CE23" s="73">
        <f t="shared" si="17"/>
        <v>0</v>
      </c>
    </row>
    <row r="24" s="29" customFormat="1" ht="13.4" outlineLevel="1" spans="2:83">
      <c r="B24" s="62">
        <v>13</v>
      </c>
      <c r="C24" s="76"/>
      <c r="D24" s="63"/>
      <c r="E24" s="63"/>
      <c r="F24" s="63"/>
      <c r="G24" s="64"/>
      <c r="H24" s="65"/>
      <c r="I24" s="66"/>
      <c r="J24" s="66">
        <f t="shared" si="4"/>
        <v>0</v>
      </c>
      <c r="K24" s="67"/>
      <c r="L24" s="67"/>
      <c r="M24" s="67"/>
      <c r="N24" s="67"/>
      <c r="O24" s="67"/>
      <c r="P24" s="68"/>
      <c r="Q24" s="68"/>
      <c r="R24" s="68"/>
      <c r="S24" s="68"/>
      <c r="T24" s="68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6">
        <f t="shared" si="5"/>
        <v>0</v>
      </c>
      <c r="AV24" s="73">
        <f t="shared" ref="AV24:CE24" si="18">$H24/K$9*K24</f>
        <v>0</v>
      </c>
      <c r="AW24" s="73">
        <f t="shared" si="18"/>
        <v>0</v>
      </c>
      <c r="AX24" s="73">
        <f t="shared" si="18"/>
        <v>0</v>
      </c>
      <c r="AY24" s="73">
        <f t="shared" si="18"/>
        <v>0</v>
      </c>
      <c r="AZ24" s="73">
        <f t="shared" si="18"/>
        <v>0</v>
      </c>
      <c r="BA24" s="73">
        <f t="shared" si="18"/>
        <v>0</v>
      </c>
      <c r="BB24" s="73">
        <f t="shared" si="18"/>
        <v>0</v>
      </c>
      <c r="BC24" s="73">
        <f t="shared" si="18"/>
        <v>0</v>
      </c>
      <c r="BD24" s="73">
        <f t="shared" si="18"/>
        <v>0</v>
      </c>
      <c r="BE24" s="73">
        <f t="shared" si="18"/>
        <v>0</v>
      </c>
      <c r="BF24" s="73">
        <f t="shared" si="18"/>
        <v>0</v>
      </c>
      <c r="BG24" s="73">
        <f t="shared" si="18"/>
        <v>0</v>
      </c>
      <c r="BH24" s="73">
        <f t="shared" si="18"/>
        <v>0</v>
      </c>
      <c r="BI24" s="73">
        <f t="shared" si="18"/>
        <v>0</v>
      </c>
      <c r="BJ24" s="73">
        <f t="shared" si="18"/>
        <v>0</v>
      </c>
      <c r="BK24" s="73">
        <f t="shared" si="18"/>
        <v>0</v>
      </c>
      <c r="BL24" s="73">
        <f t="shared" si="18"/>
        <v>0</v>
      </c>
      <c r="BM24" s="73">
        <f t="shared" si="18"/>
        <v>0</v>
      </c>
      <c r="BN24" s="73">
        <f t="shared" si="18"/>
        <v>0</v>
      </c>
      <c r="BO24" s="73">
        <f t="shared" si="18"/>
        <v>0</v>
      </c>
      <c r="BP24" s="73">
        <f t="shared" si="18"/>
        <v>0</v>
      </c>
      <c r="BQ24" s="73">
        <f t="shared" si="18"/>
        <v>0</v>
      </c>
      <c r="BR24" s="73">
        <f t="shared" si="18"/>
        <v>0</v>
      </c>
      <c r="BS24" s="73">
        <f t="shared" si="18"/>
        <v>0</v>
      </c>
      <c r="BT24" s="73">
        <f t="shared" si="18"/>
        <v>0</v>
      </c>
      <c r="BU24" s="73">
        <f t="shared" si="18"/>
        <v>0</v>
      </c>
      <c r="BV24" s="73">
        <f t="shared" si="18"/>
        <v>0</v>
      </c>
      <c r="BW24" s="73">
        <f t="shared" si="18"/>
        <v>0</v>
      </c>
      <c r="BX24" s="73">
        <f t="shared" si="18"/>
        <v>0</v>
      </c>
      <c r="BY24" s="73">
        <f t="shared" si="18"/>
        <v>0</v>
      </c>
      <c r="BZ24" s="73">
        <f t="shared" si="18"/>
        <v>0</v>
      </c>
      <c r="CA24" s="73">
        <f t="shared" si="18"/>
        <v>0</v>
      </c>
      <c r="CB24" s="73">
        <f t="shared" si="18"/>
        <v>0</v>
      </c>
      <c r="CC24" s="73">
        <f t="shared" si="18"/>
        <v>0</v>
      </c>
      <c r="CD24" s="73">
        <f t="shared" si="18"/>
        <v>0</v>
      </c>
      <c r="CE24" s="73">
        <f t="shared" si="18"/>
        <v>0</v>
      </c>
    </row>
    <row r="25" s="29" customFormat="1" ht="13.4" outlineLevel="1" spans="2:83">
      <c r="B25" s="62">
        <v>14</v>
      </c>
      <c r="C25" s="62"/>
      <c r="D25" s="63"/>
      <c r="E25" s="63"/>
      <c r="F25" s="63"/>
      <c r="G25" s="64"/>
      <c r="H25" s="65"/>
      <c r="I25" s="66"/>
      <c r="J25" s="66">
        <f t="shared" si="4"/>
        <v>0</v>
      </c>
      <c r="K25" s="67"/>
      <c r="L25" s="67"/>
      <c r="M25" s="67"/>
      <c r="N25" s="67"/>
      <c r="O25" s="67"/>
      <c r="P25" s="68"/>
      <c r="Q25" s="68"/>
      <c r="R25" s="68"/>
      <c r="S25" s="68"/>
      <c r="T25" s="68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6">
        <f t="shared" si="5"/>
        <v>0</v>
      </c>
      <c r="AV25" s="73">
        <f t="shared" ref="AV25:CE25" si="19">$H25/K$9*K25</f>
        <v>0</v>
      </c>
      <c r="AW25" s="73">
        <f t="shared" si="19"/>
        <v>0</v>
      </c>
      <c r="AX25" s="73">
        <f t="shared" si="19"/>
        <v>0</v>
      </c>
      <c r="AY25" s="73">
        <f t="shared" si="19"/>
        <v>0</v>
      </c>
      <c r="AZ25" s="73">
        <f t="shared" si="19"/>
        <v>0</v>
      </c>
      <c r="BA25" s="73">
        <f t="shared" si="19"/>
        <v>0</v>
      </c>
      <c r="BB25" s="73">
        <f t="shared" si="19"/>
        <v>0</v>
      </c>
      <c r="BC25" s="73">
        <f t="shared" si="19"/>
        <v>0</v>
      </c>
      <c r="BD25" s="73">
        <f t="shared" si="19"/>
        <v>0</v>
      </c>
      <c r="BE25" s="73">
        <f t="shared" si="19"/>
        <v>0</v>
      </c>
      <c r="BF25" s="73">
        <f t="shared" si="19"/>
        <v>0</v>
      </c>
      <c r="BG25" s="73">
        <f t="shared" si="19"/>
        <v>0</v>
      </c>
      <c r="BH25" s="73">
        <f t="shared" si="19"/>
        <v>0</v>
      </c>
      <c r="BI25" s="73">
        <f t="shared" si="19"/>
        <v>0</v>
      </c>
      <c r="BJ25" s="73">
        <f t="shared" si="19"/>
        <v>0</v>
      </c>
      <c r="BK25" s="73">
        <f t="shared" si="19"/>
        <v>0</v>
      </c>
      <c r="BL25" s="73">
        <f t="shared" si="19"/>
        <v>0</v>
      </c>
      <c r="BM25" s="73">
        <f t="shared" si="19"/>
        <v>0</v>
      </c>
      <c r="BN25" s="73">
        <f t="shared" si="19"/>
        <v>0</v>
      </c>
      <c r="BO25" s="73">
        <f t="shared" si="19"/>
        <v>0</v>
      </c>
      <c r="BP25" s="73">
        <f t="shared" si="19"/>
        <v>0</v>
      </c>
      <c r="BQ25" s="73">
        <f t="shared" si="19"/>
        <v>0</v>
      </c>
      <c r="BR25" s="73">
        <f t="shared" si="19"/>
        <v>0</v>
      </c>
      <c r="BS25" s="73">
        <f t="shared" si="19"/>
        <v>0</v>
      </c>
      <c r="BT25" s="73">
        <f t="shared" si="19"/>
        <v>0</v>
      </c>
      <c r="BU25" s="73">
        <f t="shared" si="19"/>
        <v>0</v>
      </c>
      <c r="BV25" s="73">
        <f t="shared" si="19"/>
        <v>0</v>
      </c>
      <c r="BW25" s="73">
        <f t="shared" si="19"/>
        <v>0</v>
      </c>
      <c r="BX25" s="73">
        <f t="shared" si="19"/>
        <v>0</v>
      </c>
      <c r="BY25" s="73">
        <f t="shared" si="19"/>
        <v>0</v>
      </c>
      <c r="BZ25" s="73">
        <f t="shared" si="19"/>
        <v>0</v>
      </c>
      <c r="CA25" s="73">
        <f t="shared" si="19"/>
        <v>0</v>
      </c>
      <c r="CB25" s="73">
        <f t="shared" si="19"/>
        <v>0</v>
      </c>
      <c r="CC25" s="73">
        <f t="shared" si="19"/>
        <v>0</v>
      </c>
      <c r="CD25" s="73">
        <f t="shared" si="19"/>
        <v>0</v>
      </c>
      <c r="CE25" s="73">
        <f t="shared" si="19"/>
        <v>0</v>
      </c>
    </row>
    <row r="26" s="29" customFormat="1" ht="13.4" outlineLevel="1" spans="2:83">
      <c r="B26" s="62">
        <v>15</v>
      </c>
      <c r="C26" s="76"/>
      <c r="D26" s="63"/>
      <c r="E26" s="63"/>
      <c r="F26" s="63"/>
      <c r="G26" s="64"/>
      <c r="H26" s="65"/>
      <c r="I26" s="66"/>
      <c r="J26" s="66">
        <f t="shared" si="4"/>
        <v>0</v>
      </c>
      <c r="K26" s="67"/>
      <c r="L26" s="67"/>
      <c r="M26" s="67"/>
      <c r="N26" s="67"/>
      <c r="O26" s="67"/>
      <c r="P26" s="68"/>
      <c r="Q26" s="68"/>
      <c r="R26" s="68"/>
      <c r="S26" s="68"/>
      <c r="T26" s="68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6">
        <f t="shared" si="5"/>
        <v>0</v>
      </c>
      <c r="AV26" s="73">
        <f t="shared" ref="AV26:CE26" si="20">$H26/K$9*K26</f>
        <v>0</v>
      </c>
      <c r="AW26" s="73">
        <f t="shared" si="20"/>
        <v>0</v>
      </c>
      <c r="AX26" s="73">
        <f t="shared" si="20"/>
        <v>0</v>
      </c>
      <c r="AY26" s="73">
        <f t="shared" si="20"/>
        <v>0</v>
      </c>
      <c r="AZ26" s="73">
        <f t="shared" si="20"/>
        <v>0</v>
      </c>
      <c r="BA26" s="73">
        <f t="shared" si="20"/>
        <v>0</v>
      </c>
      <c r="BB26" s="73">
        <f t="shared" si="20"/>
        <v>0</v>
      </c>
      <c r="BC26" s="73">
        <f t="shared" si="20"/>
        <v>0</v>
      </c>
      <c r="BD26" s="73">
        <f t="shared" si="20"/>
        <v>0</v>
      </c>
      <c r="BE26" s="73">
        <f t="shared" si="20"/>
        <v>0</v>
      </c>
      <c r="BF26" s="73">
        <f t="shared" si="20"/>
        <v>0</v>
      </c>
      <c r="BG26" s="73">
        <f t="shared" si="20"/>
        <v>0</v>
      </c>
      <c r="BH26" s="73">
        <f t="shared" si="20"/>
        <v>0</v>
      </c>
      <c r="BI26" s="73">
        <f t="shared" si="20"/>
        <v>0</v>
      </c>
      <c r="BJ26" s="73">
        <f t="shared" si="20"/>
        <v>0</v>
      </c>
      <c r="BK26" s="73">
        <f t="shared" si="20"/>
        <v>0</v>
      </c>
      <c r="BL26" s="73">
        <f t="shared" si="20"/>
        <v>0</v>
      </c>
      <c r="BM26" s="73">
        <f t="shared" si="20"/>
        <v>0</v>
      </c>
      <c r="BN26" s="73">
        <f t="shared" si="20"/>
        <v>0</v>
      </c>
      <c r="BO26" s="73">
        <f t="shared" si="20"/>
        <v>0</v>
      </c>
      <c r="BP26" s="73">
        <f t="shared" si="20"/>
        <v>0</v>
      </c>
      <c r="BQ26" s="73">
        <f t="shared" si="20"/>
        <v>0</v>
      </c>
      <c r="BR26" s="73">
        <f t="shared" si="20"/>
        <v>0</v>
      </c>
      <c r="BS26" s="73">
        <f t="shared" si="20"/>
        <v>0</v>
      </c>
      <c r="BT26" s="73">
        <f t="shared" si="20"/>
        <v>0</v>
      </c>
      <c r="BU26" s="73">
        <f t="shared" si="20"/>
        <v>0</v>
      </c>
      <c r="BV26" s="73">
        <f t="shared" si="20"/>
        <v>0</v>
      </c>
      <c r="BW26" s="73">
        <f t="shared" si="20"/>
        <v>0</v>
      </c>
      <c r="BX26" s="73">
        <f t="shared" si="20"/>
        <v>0</v>
      </c>
      <c r="BY26" s="73">
        <f t="shared" si="20"/>
        <v>0</v>
      </c>
      <c r="BZ26" s="73">
        <f t="shared" si="20"/>
        <v>0</v>
      </c>
      <c r="CA26" s="73">
        <f t="shared" si="20"/>
        <v>0</v>
      </c>
      <c r="CB26" s="73">
        <f t="shared" si="20"/>
        <v>0</v>
      </c>
      <c r="CC26" s="73">
        <f t="shared" si="20"/>
        <v>0</v>
      </c>
      <c r="CD26" s="73">
        <f t="shared" si="20"/>
        <v>0</v>
      </c>
      <c r="CE26" s="73">
        <f t="shared" si="20"/>
        <v>0</v>
      </c>
    </row>
    <row r="27" s="29" customFormat="1" ht="13.4" outlineLevel="1" spans="2:83">
      <c r="B27" s="62">
        <v>16</v>
      </c>
      <c r="C27" s="62"/>
      <c r="D27" s="63"/>
      <c r="E27" s="63"/>
      <c r="F27" s="63"/>
      <c r="G27" s="64"/>
      <c r="H27" s="65"/>
      <c r="I27" s="66"/>
      <c r="J27" s="66">
        <f t="shared" si="4"/>
        <v>0</v>
      </c>
      <c r="K27" s="67"/>
      <c r="L27" s="67"/>
      <c r="M27" s="67"/>
      <c r="N27" s="67"/>
      <c r="O27" s="67"/>
      <c r="P27" s="68"/>
      <c r="Q27" s="68"/>
      <c r="R27" s="68"/>
      <c r="S27" s="68"/>
      <c r="T27" s="68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6">
        <f t="shared" si="5"/>
        <v>0</v>
      </c>
      <c r="AV27" s="73">
        <f t="shared" ref="AV27:CE27" si="21">$H27/K$9*K27</f>
        <v>0</v>
      </c>
      <c r="AW27" s="73">
        <f t="shared" si="21"/>
        <v>0</v>
      </c>
      <c r="AX27" s="73">
        <f t="shared" si="21"/>
        <v>0</v>
      </c>
      <c r="AY27" s="73">
        <f t="shared" si="21"/>
        <v>0</v>
      </c>
      <c r="AZ27" s="73">
        <f t="shared" si="21"/>
        <v>0</v>
      </c>
      <c r="BA27" s="73">
        <f t="shared" si="21"/>
        <v>0</v>
      </c>
      <c r="BB27" s="73">
        <f t="shared" si="21"/>
        <v>0</v>
      </c>
      <c r="BC27" s="73">
        <f t="shared" si="21"/>
        <v>0</v>
      </c>
      <c r="BD27" s="73">
        <f t="shared" si="21"/>
        <v>0</v>
      </c>
      <c r="BE27" s="73">
        <f t="shared" si="21"/>
        <v>0</v>
      </c>
      <c r="BF27" s="73">
        <f t="shared" si="21"/>
        <v>0</v>
      </c>
      <c r="BG27" s="73">
        <f t="shared" si="21"/>
        <v>0</v>
      </c>
      <c r="BH27" s="73">
        <f t="shared" si="21"/>
        <v>0</v>
      </c>
      <c r="BI27" s="73">
        <f t="shared" si="21"/>
        <v>0</v>
      </c>
      <c r="BJ27" s="73">
        <f t="shared" si="21"/>
        <v>0</v>
      </c>
      <c r="BK27" s="73">
        <f t="shared" si="21"/>
        <v>0</v>
      </c>
      <c r="BL27" s="73">
        <f t="shared" si="21"/>
        <v>0</v>
      </c>
      <c r="BM27" s="73">
        <f t="shared" si="21"/>
        <v>0</v>
      </c>
      <c r="BN27" s="73">
        <f t="shared" si="21"/>
        <v>0</v>
      </c>
      <c r="BO27" s="73">
        <f t="shared" si="21"/>
        <v>0</v>
      </c>
      <c r="BP27" s="73">
        <f t="shared" si="21"/>
        <v>0</v>
      </c>
      <c r="BQ27" s="73">
        <f t="shared" si="21"/>
        <v>0</v>
      </c>
      <c r="BR27" s="73">
        <f t="shared" si="21"/>
        <v>0</v>
      </c>
      <c r="BS27" s="73">
        <f t="shared" si="21"/>
        <v>0</v>
      </c>
      <c r="BT27" s="73">
        <f t="shared" si="21"/>
        <v>0</v>
      </c>
      <c r="BU27" s="73">
        <f t="shared" si="21"/>
        <v>0</v>
      </c>
      <c r="BV27" s="73">
        <f t="shared" si="21"/>
        <v>0</v>
      </c>
      <c r="BW27" s="73">
        <f t="shared" si="21"/>
        <v>0</v>
      </c>
      <c r="BX27" s="73">
        <f t="shared" si="21"/>
        <v>0</v>
      </c>
      <c r="BY27" s="73">
        <f t="shared" si="21"/>
        <v>0</v>
      </c>
      <c r="BZ27" s="73">
        <f t="shared" si="21"/>
        <v>0</v>
      </c>
      <c r="CA27" s="73">
        <f t="shared" si="21"/>
        <v>0</v>
      </c>
      <c r="CB27" s="73">
        <f t="shared" si="21"/>
        <v>0</v>
      </c>
      <c r="CC27" s="73">
        <f t="shared" si="21"/>
        <v>0</v>
      </c>
      <c r="CD27" s="73">
        <f t="shared" si="21"/>
        <v>0</v>
      </c>
      <c r="CE27" s="73">
        <f t="shared" si="21"/>
        <v>0</v>
      </c>
    </row>
    <row r="28" s="29" customFormat="1" ht="13.4" outlineLevel="1" spans="2:83">
      <c r="B28" s="62">
        <v>17</v>
      </c>
      <c r="C28" s="76"/>
      <c r="D28" s="63"/>
      <c r="E28" s="63"/>
      <c r="F28" s="63"/>
      <c r="G28" s="64"/>
      <c r="H28" s="65"/>
      <c r="I28" s="66"/>
      <c r="J28" s="66">
        <f t="shared" si="4"/>
        <v>0</v>
      </c>
      <c r="K28" s="67"/>
      <c r="L28" s="67"/>
      <c r="M28" s="67"/>
      <c r="N28" s="67"/>
      <c r="O28" s="67"/>
      <c r="P28" s="68"/>
      <c r="Q28" s="68"/>
      <c r="R28" s="68"/>
      <c r="S28" s="68"/>
      <c r="T28" s="68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6">
        <f t="shared" si="5"/>
        <v>0</v>
      </c>
      <c r="AV28" s="73">
        <f t="shared" ref="AV28:CE28" si="22">$H28/K$9*K28</f>
        <v>0</v>
      </c>
      <c r="AW28" s="73">
        <f t="shared" si="22"/>
        <v>0</v>
      </c>
      <c r="AX28" s="73">
        <f t="shared" si="22"/>
        <v>0</v>
      </c>
      <c r="AY28" s="73">
        <f t="shared" si="22"/>
        <v>0</v>
      </c>
      <c r="AZ28" s="73">
        <f t="shared" si="22"/>
        <v>0</v>
      </c>
      <c r="BA28" s="73">
        <f t="shared" si="22"/>
        <v>0</v>
      </c>
      <c r="BB28" s="73">
        <f t="shared" si="22"/>
        <v>0</v>
      </c>
      <c r="BC28" s="73">
        <f t="shared" si="22"/>
        <v>0</v>
      </c>
      <c r="BD28" s="73">
        <f t="shared" si="22"/>
        <v>0</v>
      </c>
      <c r="BE28" s="73">
        <f t="shared" si="22"/>
        <v>0</v>
      </c>
      <c r="BF28" s="73">
        <f t="shared" si="22"/>
        <v>0</v>
      </c>
      <c r="BG28" s="73">
        <f t="shared" si="22"/>
        <v>0</v>
      </c>
      <c r="BH28" s="73">
        <f t="shared" si="22"/>
        <v>0</v>
      </c>
      <c r="BI28" s="73">
        <f t="shared" si="22"/>
        <v>0</v>
      </c>
      <c r="BJ28" s="73">
        <f t="shared" si="22"/>
        <v>0</v>
      </c>
      <c r="BK28" s="73">
        <f t="shared" si="22"/>
        <v>0</v>
      </c>
      <c r="BL28" s="73">
        <f t="shared" si="22"/>
        <v>0</v>
      </c>
      <c r="BM28" s="73">
        <f t="shared" si="22"/>
        <v>0</v>
      </c>
      <c r="BN28" s="73">
        <f t="shared" si="22"/>
        <v>0</v>
      </c>
      <c r="BO28" s="73">
        <f t="shared" si="22"/>
        <v>0</v>
      </c>
      <c r="BP28" s="73">
        <f t="shared" si="22"/>
        <v>0</v>
      </c>
      <c r="BQ28" s="73">
        <f t="shared" si="22"/>
        <v>0</v>
      </c>
      <c r="BR28" s="73">
        <f t="shared" si="22"/>
        <v>0</v>
      </c>
      <c r="BS28" s="73">
        <f t="shared" si="22"/>
        <v>0</v>
      </c>
      <c r="BT28" s="73">
        <f t="shared" si="22"/>
        <v>0</v>
      </c>
      <c r="BU28" s="73">
        <f t="shared" si="22"/>
        <v>0</v>
      </c>
      <c r="BV28" s="73">
        <f t="shared" si="22"/>
        <v>0</v>
      </c>
      <c r="BW28" s="73">
        <f t="shared" si="22"/>
        <v>0</v>
      </c>
      <c r="BX28" s="73">
        <f t="shared" si="22"/>
        <v>0</v>
      </c>
      <c r="BY28" s="73">
        <f t="shared" si="22"/>
        <v>0</v>
      </c>
      <c r="BZ28" s="73">
        <f t="shared" si="22"/>
        <v>0</v>
      </c>
      <c r="CA28" s="73">
        <f t="shared" si="22"/>
        <v>0</v>
      </c>
      <c r="CB28" s="73">
        <f t="shared" si="22"/>
        <v>0</v>
      </c>
      <c r="CC28" s="73">
        <f t="shared" si="22"/>
        <v>0</v>
      </c>
      <c r="CD28" s="73">
        <f t="shared" si="22"/>
        <v>0</v>
      </c>
      <c r="CE28" s="73">
        <f t="shared" si="22"/>
        <v>0</v>
      </c>
    </row>
    <row r="29" s="29" customFormat="1" ht="13.4" outlineLevel="1" spans="2:83">
      <c r="B29" s="62">
        <v>18</v>
      </c>
      <c r="C29" s="76"/>
      <c r="D29" s="63"/>
      <c r="E29" s="63"/>
      <c r="F29" s="63"/>
      <c r="G29" s="64"/>
      <c r="H29" s="65"/>
      <c r="I29" s="66"/>
      <c r="J29" s="66">
        <f t="shared" si="4"/>
        <v>0</v>
      </c>
      <c r="K29" s="67"/>
      <c r="L29" s="67"/>
      <c r="M29" s="67"/>
      <c r="N29" s="67"/>
      <c r="O29" s="67"/>
      <c r="P29" s="68"/>
      <c r="Q29" s="68"/>
      <c r="R29" s="68"/>
      <c r="S29" s="68"/>
      <c r="T29" s="68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6">
        <f t="shared" si="5"/>
        <v>0</v>
      </c>
      <c r="AV29" s="73">
        <f t="shared" ref="AV29:CE29" si="23">$H29/K$9*K29</f>
        <v>0</v>
      </c>
      <c r="AW29" s="73">
        <f t="shared" si="23"/>
        <v>0</v>
      </c>
      <c r="AX29" s="73">
        <f t="shared" si="23"/>
        <v>0</v>
      </c>
      <c r="AY29" s="73">
        <f t="shared" si="23"/>
        <v>0</v>
      </c>
      <c r="AZ29" s="73">
        <f t="shared" si="23"/>
        <v>0</v>
      </c>
      <c r="BA29" s="73">
        <f t="shared" si="23"/>
        <v>0</v>
      </c>
      <c r="BB29" s="73">
        <f t="shared" si="23"/>
        <v>0</v>
      </c>
      <c r="BC29" s="73">
        <f t="shared" si="23"/>
        <v>0</v>
      </c>
      <c r="BD29" s="73">
        <f t="shared" si="23"/>
        <v>0</v>
      </c>
      <c r="BE29" s="73">
        <f t="shared" si="23"/>
        <v>0</v>
      </c>
      <c r="BF29" s="73">
        <f t="shared" si="23"/>
        <v>0</v>
      </c>
      <c r="BG29" s="73">
        <f t="shared" si="23"/>
        <v>0</v>
      </c>
      <c r="BH29" s="73">
        <f t="shared" si="23"/>
        <v>0</v>
      </c>
      <c r="BI29" s="73">
        <f t="shared" si="23"/>
        <v>0</v>
      </c>
      <c r="BJ29" s="73">
        <f t="shared" si="23"/>
        <v>0</v>
      </c>
      <c r="BK29" s="73">
        <f t="shared" si="23"/>
        <v>0</v>
      </c>
      <c r="BL29" s="73">
        <f t="shared" si="23"/>
        <v>0</v>
      </c>
      <c r="BM29" s="73">
        <f t="shared" si="23"/>
        <v>0</v>
      </c>
      <c r="BN29" s="73">
        <f t="shared" si="23"/>
        <v>0</v>
      </c>
      <c r="BO29" s="73">
        <f t="shared" si="23"/>
        <v>0</v>
      </c>
      <c r="BP29" s="73">
        <f t="shared" si="23"/>
        <v>0</v>
      </c>
      <c r="BQ29" s="73">
        <f t="shared" si="23"/>
        <v>0</v>
      </c>
      <c r="BR29" s="73">
        <f t="shared" si="23"/>
        <v>0</v>
      </c>
      <c r="BS29" s="73">
        <f t="shared" si="23"/>
        <v>0</v>
      </c>
      <c r="BT29" s="73">
        <f t="shared" si="23"/>
        <v>0</v>
      </c>
      <c r="BU29" s="73">
        <f t="shared" si="23"/>
        <v>0</v>
      </c>
      <c r="BV29" s="73">
        <f t="shared" si="23"/>
        <v>0</v>
      </c>
      <c r="BW29" s="73">
        <f t="shared" si="23"/>
        <v>0</v>
      </c>
      <c r="BX29" s="73">
        <f t="shared" si="23"/>
        <v>0</v>
      </c>
      <c r="BY29" s="73">
        <f t="shared" si="23"/>
        <v>0</v>
      </c>
      <c r="BZ29" s="73">
        <f t="shared" si="23"/>
        <v>0</v>
      </c>
      <c r="CA29" s="73">
        <f t="shared" si="23"/>
        <v>0</v>
      </c>
      <c r="CB29" s="73">
        <f t="shared" si="23"/>
        <v>0</v>
      </c>
      <c r="CC29" s="73">
        <f t="shared" si="23"/>
        <v>0</v>
      </c>
      <c r="CD29" s="73">
        <f t="shared" si="23"/>
        <v>0</v>
      </c>
      <c r="CE29" s="73">
        <f t="shared" si="23"/>
        <v>0</v>
      </c>
    </row>
    <row r="30" s="29" customFormat="1" ht="13.4" outlineLevel="1" spans="2:83">
      <c r="B30" s="62">
        <v>19</v>
      </c>
      <c r="C30" s="76"/>
      <c r="D30" s="63"/>
      <c r="E30" s="63"/>
      <c r="F30" s="63"/>
      <c r="G30" s="64"/>
      <c r="H30" s="65"/>
      <c r="I30" s="66"/>
      <c r="J30" s="66">
        <f t="shared" si="4"/>
        <v>0</v>
      </c>
      <c r="K30" s="67"/>
      <c r="L30" s="67"/>
      <c r="M30" s="67"/>
      <c r="N30" s="67"/>
      <c r="O30" s="67"/>
      <c r="P30" s="68"/>
      <c r="Q30" s="68"/>
      <c r="R30" s="68"/>
      <c r="S30" s="68"/>
      <c r="T30" s="68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6">
        <f t="shared" si="5"/>
        <v>0</v>
      </c>
      <c r="AV30" s="73">
        <f t="shared" ref="AV30:CE30" si="24">$H30/K$9*K30</f>
        <v>0</v>
      </c>
      <c r="AW30" s="73">
        <f t="shared" si="24"/>
        <v>0</v>
      </c>
      <c r="AX30" s="73">
        <f t="shared" si="24"/>
        <v>0</v>
      </c>
      <c r="AY30" s="73">
        <f t="shared" si="24"/>
        <v>0</v>
      </c>
      <c r="AZ30" s="73">
        <f t="shared" si="24"/>
        <v>0</v>
      </c>
      <c r="BA30" s="73">
        <f t="shared" si="24"/>
        <v>0</v>
      </c>
      <c r="BB30" s="73">
        <f t="shared" si="24"/>
        <v>0</v>
      </c>
      <c r="BC30" s="73">
        <f t="shared" si="24"/>
        <v>0</v>
      </c>
      <c r="BD30" s="73">
        <f t="shared" si="24"/>
        <v>0</v>
      </c>
      <c r="BE30" s="73">
        <f t="shared" si="24"/>
        <v>0</v>
      </c>
      <c r="BF30" s="73">
        <f t="shared" si="24"/>
        <v>0</v>
      </c>
      <c r="BG30" s="73">
        <f t="shared" si="24"/>
        <v>0</v>
      </c>
      <c r="BH30" s="73">
        <f t="shared" si="24"/>
        <v>0</v>
      </c>
      <c r="BI30" s="73">
        <f t="shared" si="24"/>
        <v>0</v>
      </c>
      <c r="BJ30" s="73">
        <f t="shared" si="24"/>
        <v>0</v>
      </c>
      <c r="BK30" s="73">
        <f t="shared" si="24"/>
        <v>0</v>
      </c>
      <c r="BL30" s="73">
        <f t="shared" si="24"/>
        <v>0</v>
      </c>
      <c r="BM30" s="73">
        <f t="shared" si="24"/>
        <v>0</v>
      </c>
      <c r="BN30" s="73">
        <f t="shared" si="24"/>
        <v>0</v>
      </c>
      <c r="BO30" s="73">
        <f t="shared" si="24"/>
        <v>0</v>
      </c>
      <c r="BP30" s="73">
        <f t="shared" si="24"/>
        <v>0</v>
      </c>
      <c r="BQ30" s="73">
        <f t="shared" si="24"/>
        <v>0</v>
      </c>
      <c r="BR30" s="73">
        <f t="shared" si="24"/>
        <v>0</v>
      </c>
      <c r="BS30" s="73">
        <f t="shared" si="24"/>
        <v>0</v>
      </c>
      <c r="BT30" s="73">
        <f t="shared" si="24"/>
        <v>0</v>
      </c>
      <c r="BU30" s="73">
        <f t="shared" si="24"/>
        <v>0</v>
      </c>
      <c r="BV30" s="73">
        <f t="shared" si="24"/>
        <v>0</v>
      </c>
      <c r="BW30" s="73">
        <f t="shared" si="24"/>
        <v>0</v>
      </c>
      <c r="BX30" s="73">
        <f t="shared" si="24"/>
        <v>0</v>
      </c>
      <c r="BY30" s="73">
        <f t="shared" si="24"/>
        <v>0</v>
      </c>
      <c r="BZ30" s="73">
        <f t="shared" si="24"/>
        <v>0</v>
      </c>
      <c r="CA30" s="73">
        <f t="shared" si="24"/>
        <v>0</v>
      </c>
      <c r="CB30" s="73">
        <f t="shared" si="24"/>
        <v>0</v>
      </c>
      <c r="CC30" s="73">
        <f t="shared" si="24"/>
        <v>0</v>
      </c>
      <c r="CD30" s="73">
        <f t="shared" si="24"/>
        <v>0</v>
      </c>
      <c r="CE30" s="73">
        <f t="shared" si="24"/>
        <v>0</v>
      </c>
    </row>
    <row r="31" s="29" customFormat="1" ht="13.4" outlineLevel="1" spans="2:83">
      <c r="B31" s="62">
        <v>20</v>
      </c>
      <c r="C31" s="76"/>
      <c r="D31" s="63"/>
      <c r="E31" s="63"/>
      <c r="F31" s="63"/>
      <c r="G31" s="64"/>
      <c r="H31" s="65"/>
      <c r="I31" s="66"/>
      <c r="J31" s="66">
        <f t="shared" si="4"/>
        <v>0</v>
      </c>
      <c r="K31" s="67"/>
      <c r="L31" s="67"/>
      <c r="M31" s="67"/>
      <c r="N31" s="67"/>
      <c r="O31" s="67"/>
      <c r="P31" s="68"/>
      <c r="Q31" s="68"/>
      <c r="R31" s="68"/>
      <c r="S31" s="68"/>
      <c r="T31" s="68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6">
        <f t="shared" si="5"/>
        <v>0</v>
      </c>
      <c r="AV31" s="73">
        <f t="shared" ref="AV31:CE31" si="25">$H31/K$9*K31</f>
        <v>0</v>
      </c>
      <c r="AW31" s="73">
        <f t="shared" si="25"/>
        <v>0</v>
      </c>
      <c r="AX31" s="73">
        <f t="shared" si="25"/>
        <v>0</v>
      </c>
      <c r="AY31" s="73">
        <f t="shared" si="25"/>
        <v>0</v>
      </c>
      <c r="AZ31" s="73">
        <f t="shared" si="25"/>
        <v>0</v>
      </c>
      <c r="BA31" s="73">
        <f t="shared" si="25"/>
        <v>0</v>
      </c>
      <c r="BB31" s="73">
        <f t="shared" si="25"/>
        <v>0</v>
      </c>
      <c r="BC31" s="73">
        <f t="shared" si="25"/>
        <v>0</v>
      </c>
      <c r="BD31" s="73">
        <f t="shared" si="25"/>
        <v>0</v>
      </c>
      <c r="BE31" s="73">
        <f t="shared" si="25"/>
        <v>0</v>
      </c>
      <c r="BF31" s="73">
        <f t="shared" si="25"/>
        <v>0</v>
      </c>
      <c r="BG31" s="73">
        <f t="shared" si="25"/>
        <v>0</v>
      </c>
      <c r="BH31" s="73">
        <f t="shared" si="25"/>
        <v>0</v>
      </c>
      <c r="BI31" s="73">
        <f t="shared" si="25"/>
        <v>0</v>
      </c>
      <c r="BJ31" s="73">
        <f t="shared" si="25"/>
        <v>0</v>
      </c>
      <c r="BK31" s="73">
        <f t="shared" si="25"/>
        <v>0</v>
      </c>
      <c r="BL31" s="73">
        <f t="shared" si="25"/>
        <v>0</v>
      </c>
      <c r="BM31" s="73">
        <f t="shared" si="25"/>
        <v>0</v>
      </c>
      <c r="BN31" s="73">
        <f t="shared" si="25"/>
        <v>0</v>
      </c>
      <c r="BO31" s="73">
        <f t="shared" si="25"/>
        <v>0</v>
      </c>
      <c r="BP31" s="73">
        <f t="shared" si="25"/>
        <v>0</v>
      </c>
      <c r="BQ31" s="73">
        <f t="shared" si="25"/>
        <v>0</v>
      </c>
      <c r="BR31" s="73">
        <f t="shared" si="25"/>
        <v>0</v>
      </c>
      <c r="BS31" s="73">
        <f t="shared" si="25"/>
        <v>0</v>
      </c>
      <c r="BT31" s="73">
        <f t="shared" si="25"/>
        <v>0</v>
      </c>
      <c r="BU31" s="73">
        <f t="shared" si="25"/>
        <v>0</v>
      </c>
      <c r="BV31" s="73">
        <f t="shared" si="25"/>
        <v>0</v>
      </c>
      <c r="BW31" s="73">
        <f t="shared" si="25"/>
        <v>0</v>
      </c>
      <c r="BX31" s="73">
        <f t="shared" si="25"/>
        <v>0</v>
      </c>
      <c r="BY31" s="73">
        <f t="shared" si="25"/>
        <v>0</v>
      </c>
      <c r="BZ31" s="73">
        <f t="shared" si="25"/>
        <v>0</v>
      </c>
      <c r="CA31" s="73">
        <f t="shared" si="25"/>
        <v>0</v>
      </c>
      <c r="CB31" s="73">
        <f t="shared" si="25"/>
        <v>0</v>
      </c>
      <c r="CC31" s="73">
        <f t="shared" si="25"/>
        <v>0</v>
      </c>
      <c r="CD31" s="73">
        <f t="shared" si="25"/>
        <v>0</v>
      </c>
      <c r="CE31" s="73">
        <f t="shared" si="25"/>
        <v>0</v>
      </c>
    </row>
    <row r="32" s="29" customFormat="1" ht="13.4" outlineLevel="1" spans="2:83">
      <c r="B32" s="62">
        <v>21</v>
      </c>
      <c r="C32" s="76"/>
      <c r="D32" s="63"/>
      <c r="E32" s="63"/>
      <c r="F32" s="63"/>
      <c r="G32" s="64"/>
      <c r="H32" s="65"/>
      <c r="I32" s="66"/>
      <c r="J32" s="66">
        <f t="shared" si="4"/>
        <v>0</v>
      </c>
      <c r="K32" s="67"/>
      <c r="L32" s="67"/>
      <c r="M32" s="67"/>
      <c r="N32" s="67"/>
      <c r="O32" s="67"/>
      <c r="P32" s="68"/>
      <c r="Q32" s="68"/>
      <c r="R32" s="68"/>
      <c r="S32" s="68"/>
      <c r="T32" s="68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6">
        <f t="shared" si="5"/>
        <v>0</v>
      </c>
      <c r="AV32" s="73">
        <f t="shared" ref="AV32:CE32" si="26">$H32/K$9*K32</f>
        <v>0</v>
      </c>
      <c r="AW32" s="73">
        <f t="shared" si="26"/>
        <v>0</v>
      </c>
      <c r="AX32" s="73">
        <f t="shared" si="26"/>
        <v>0</v>
      </c>
      <c r="AY32" s="73">
        <f t="shared" si="26"/>
        <v>0</v>
      </c>
      <c r="AZ32" s="73">
        <f t="shared" si="26"/>
        <v>0</v>
      </c>
      <c r="BA32" s="73">
        <f t="shared" si="26"/>
        <v>0</v>
      </c>
      <c r="BB32" s="73">
        <f t="shared" si="26"/>
        <v>0</v>
      </c>
      <c r="BC32" s="73">
        <f t="shared" si="26"/>
        <v>0</v>
      </c>
      <c r="BD32" s="73">
        <f t="shared" si="26"/>
        <v>0</v>
      </c>
      <c r="BE32" s="73">
        <f t="shared" si="26"/>
        <v>0</v>
      </c>
      <c r="BF32" s="73">
        <f t="shared" si="26"/>
        <v>0</v>
      </c>
      <c r="BG32" s="73">
        <f t="shared" si="26"/>
        <v>0</v>
      </c>
      <c r="BH32" s="73">
        <f t="shared" si="26"/>
        <v>0</v>
      </c>
      <c r="BI32" s="73">
        <f t="shared" si="26"/>
        <v>0</v>
      </c>
      <c r="BJ32" s="73">
        <f t="shared" si="26"/>
        <v>0</v>
      </c>
      <c r="BK32" s="73">
        <f t="shared" si="26"/>
        <v>0</v>
      </c>
      <c r="BL32" s="73">
        <f t="shared" si="26"/>
        <v>0</v>
      </c>
      <c r="BM32" s="73">
        <f t="shared" si="26"/>
        <v>0</v>
      </c>
      <c r="BN32" s="73">
        <f t="shared" si="26"/>
        <v>0</v>
      </c>
      <c r="BO32" s="73">
        <f t="shared" si="26"/>
        <v>0</v>
      </c>
      <c r="BP32" s="73">
        <f t="shared" si="26"/>
        <v>0</v>
      </c>
      <c r="BQ32" s="73">
        <f t="shared" si="26"/>
        <v>0</v>
      </c>
      <c r="BR32" s="73">
        <f t="shared" si="26"/>
        <v>0</v>
      </c>
      <c r="BS32" s="73">
        <f t="shared" si="26"/>
        <v>0</v>
      </c>
      <c r="BT32" s="73">
        <f t="shared" si="26"/>
        <v>0</v>
      </c>
      <c r="BU32" s="73">
        <f t="shared" si="26"/>
        <v>0</v>
      </c>
      <c r="BV32" s="73">
        <f t="shared" si="26"/>
        <v>0</v>
      </c>
      <c r="BW32" s="73">
        <f t="shared" si="26"/>
        <v>0</v>
      </c>
      <c r="BX32" s="73">
        <f t="shared" si="26"/>
        <v>0</v>
      </c>
      <c r="BY32" s="73">
        <f t="shared" si="26"/>
        <v>0</v>
      </c>
      <c r="BZ32" s="73">
        <f t="shared" si="26"/>
        <v>0</v>
      </c>
      <c r="CA32" s="73">
        <f t="shared" si="26"/>
        <v>0</v>
      </c>
      <c r="CB32" s="73">
        <f t="shared" si="26"/>
        <v>0</v>
      </c>
      <c r="CC32" s="73">
        <f t="shared" si="26"/>
        <v>0</v>
      </c>
      <c r="CD32" s="73">
        <f t="shared" si="26"/>
        <v>0</v>
      </c>
      <c r="CE32" s="73">
        <f t="shared" si="26"/>
        <v>0</v>
      </c>
    </row>
    <row r="33" s="29" customFormat="1" ht="13.4" outlineLevel="1" spans="2:83">
      <c r="B33" s="62">
        <v>22</v>
      </c>
      <c r="C33" s="76"/>
      <c r="D33" s="63"/>
      <c r="E33" s="63"/>
      <c r="F33" s="63"/>
      <c r="G33" s="64"/>
      <c r="H33" s="65"/>
      <c r="I33" s="66"/>
      <c r="J33" s="66">
        <f t="shared" si="4"/>
        <v>0</v>
      </c>
      <c r="K33" s="67"/>
      <c r="L33" s="67"/>
      <c r="M33" s="67"/>
      <c r="N33" s="67"/>
      <c r="O33" s="67"/>
      <c r="P33" s="68"/>
      <c r="Q33" s="68"/>
      <c r="R33" s="68"/>
      <c r="S33" s="68"/>
      <c r="T33" s="68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6">
        <f t="shared" si="5"/>
        <v>0</v>
      </c>
      <c r="AV33" s="73">
        <f t="shared" ref="AV33:CE33" si="27">$H33/K$9*K33</f>
        <v>0</v>
      </c>
      <c r="AW33" s="73">
        <f t="shared" si="27"/>
        <v>0</v>
      </c>
      <c r="AX33" s="73">
        <f t="shared" si="27"/>
        <v>0</v>
      </c>
      <c r="AY33" s="73">
        <f t="shared" si="27"/>
        <v>0</v>
      </c>
      <c r="AZ33" s="73">
        <f t="shared" si="27"/>
        <v>0</v>
      </c>
      <c r="BA33" s="73">
        <f t="shared" si="27"/>
        <v>0</v>
      </c>
      <c r="BB33" s="73">
        <f t="shared" si="27"/>
        <v>0</v>
      </c>
      <c r="BC33" s="73">
        <f t="shared" si="27"/>
        <v>0</v>
      </c>
      <c r="BD33" s="73">
        <f t="shared" si="27"/>
        <v>0</v>
      </c>
      <c r="BE33" s="73">
        <f t="shared" si="27"/>
        <v>0</v>
      </c>
      <c r="BF33" s="73">
        <f t="shared" si="27"/>
        <v>0</v>
      </c>
      <c r="BG33" s="73">
        <f t="shared" si="27"/>
        <v>0</v>
      </c>
      <c r="BH33" s="73">
        <f t="shared" si="27"/>
        <v>0</v>
      </c>
      <c r="BI33" s="73">
        <f t="shared" si="27"/>
        <v>0</v>
      </c>
      <c r="BJ33" s="73">
        <f t="shared" si="27"/>
        <v>0</v>
      </c>
      <c r="BK33" s="73">
        <f t="shared" si="27"/>
        <v>0</v>
      </c>
      <c r="BL33" s="73">
        <f t="shared" si="27"/>
        <v>0</v>
      </c>
      <c r="BM33" s="73">
        <f t="shared" si="27"/>
        <v>0</v>
      </c>
      <c r="BN33" s="73">
        <f t="shared" si="27"/>
        <v>0</v>
      </c>
      <c r="BO33" s="73">
        <f t="shared" si="27"/>
        <v>0</v>
      </c>
      <c r="BP33" s="73">
        <f t="shared" si="27"/>
        <v>0</v>
      </c>
      <c r="BQ33" s="73">
        <f t="shared" si="27"/>
        <v>0</v>
      </c>
      <c r="BR33" s="73">
        <f t="shared" si="27"/>
        <v>0</v>
      </c>
      <c r="BS33" s="73">
        <f t="shared" si="27"/>
        <v>0</v>
      </c>
      <c r="BT33" s="73">
        <f t="shared" si="27"/>
        <v>0</v>
      </c>
      <c r="BU33" s="73">
        <f t="shared" si="27"/>
        <v>0</v>
      </c>
      <c r="BV33" s="73">
        <f t="shared" si="27"/>
        <v>0</v>
      </c>
      <c r="BW33" s="73">
        <f t="shared" si="27"/>
        <v>0</v>
      </c>
      <c r="BX33" s="73">
        <f t="shared" si="27"/>
        <v>0</v>
      </c>
      <c r="BY33" s="73">
        <f t="shared" si="27"/>
        <v>0</v>
      </c>
      <c r="BZ33" s="73">
        <f t="shared" si="27"/>
        <v>0</v>
      </c>
      <c r="CA33" s="73">
        <f t="shared" si="27"/>
        <v>0</v>
      </c>
      <c r="CB33" s="73">
        <f t="shared" si="27"/>
        <v>0</v>
      </c>
      <c r="CC33" s="73">
        <f t="shared" si="27"/>
        <v>0</v>
      </c>
      <c r="CD33" s="73">
        <f t="shared" si="27"/>
        <v>0</v>
      </c>
      <c r="CE33" s="73">
        <f t="shared" si="27"/>
        <v>0</v>
      </c>
    </row>
    <row r="34" s="29" customFormat="1" ht="13.4" outlineLevel="1" spans="2:83">
      <c r="B34" s="62">
        <v>23</v>
      </c>
      <c r="C34" s="76"/>
      <c r="D34" s="63"/>
      <c r="E34" s="63"/>
      <c r="F34" s="63"/>
      <c r="G34" s="64"/>
      <c r="H34" s="65"/>
      <c r="I34" s="66"/>
      <c r="J34" s="66">
        <f t="shared" si="4"/>
        <v>0</v>
      </c>
      <c r="K34" s="67"/>
      <c r="L34" s="67"/>
      <c r="M34" s="67"/>
      <c r="N34" s="67"/>
      <c r="O34" s="67"/>
      <c r="P34" s="68"/>
      <c r="Q34" s="68"/>
      <c r="R34" s="68"/>
      <c r="S34" s="68"/>
      <c r="T34" s="68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6">
        <f t="shared" si="5"/>
        <v>0</v>
      </c>
      <c r="AV34" s="73">
        <f t="shared" ref="AV34:CE34" si="28">$H34/K$9*K34</f>
        <v>0</v>
      </c>
      <c r="AW34" s="73">
        <f t="shared" si="28"/>
        <v>0</v>
      </c>
      <c r="AX34" s="73">
        <f t="shared" si="28"/>
        <v>0</v>
      </c>
      <c r="AY34" s="73">
        <f t="shared" si="28"/>
        <v>0</v>
      </c>
      <c r="AZ34" s="73">
        <f t="shared" si="28"/>
        <v>0</v>
      </c>
      <c r="BA34" s="73">
        <f t="shared" si="28"/>
        <v>0</v>
      </c>
      <c r="BB34" s="73">
        <f t="shared" si="28"/>
        <v>0</v>
      </c>
      <c r="BC34" s="73">
        <f t="shared" si="28"/>
        <v>0</v>
      </c>
      <c r="BD34" s="73">
        <f t="shared" si="28"/>
        <v>0</v>
      </c>
      <c r="BE34" s="73">
        <f t="shared" si="28"/>
        <v>0</v>
      </c>
      <c r="BF34" s="73">
        <f t="shared" si="28"/>
        <v>0</v>
      </c>
      <c r="BG34" s="73">
        <f t="shared" si="28"/>
        <v>0</v>
      </c>
      <c r="BH34" s="73">
        <f t="shared" si="28"/>
        <v>0</v>
      </c>
      <c r="BI34" s="73">
        <f t="shared" si="28"/>
        <v>0</v>
      </c>
      <c r="BJ34" s="73">
        <f t="shared" si="28"/>
        <v>0</v>
      </c>
      <c r="BK34" s="73">
        <f t="shared" si="28"/>
        <v>0</v>
      </c>
      <c r="BL34" s="73">
        <f t="shared" si="28"/>
        <v>0</v>
      </c>
      <c r="BM34" s="73">
        <f t="shared" si="28"/>
        <v>0</v>
      </c>
      <c r="BN34" s="73">
        <f t="shared" si="28"/>
        <v>0</v>
      </c>
      <c r="BO34" s="73">
        <f t="shared" si="28"/>
        <v>0</v>
      </c>
      <c r="BP34" s="73">
        <f t="shared" si="28"/>
        <v>0</v>
      </c>
      <c r="BQ34" s="73">
        <f t="shared" si="28"/>
        <v>0</v>
      </c>
      <c r="BR34" s="73">
        <f t="shared" si="28"/>
        <v>0</v>
      </c>
      <c r="BS34" s="73">
        <f t="shared" si="28"/>
        <v>0</v>
      </c>
      <c r="BT34" s="73">
        <f t="shared" si="28"/>
        <v>0</v>
      </c>
      <c r="BU34" s="73">
        <f t="shared" si="28"/>
        <v>0</v>
      </c>
      <c r="BV34" s="73">
        <f t="shared" si="28"/>
        <v>0</v>
      </c>
      <c r="BW34" s="73">
        <f t="shared" si="28"/>
        <v>0</v>
      </c>
      <c r="BX34" s="73">
        <f t="shared" si="28"/>
        <v>0</v>
      </c>
      <c r="BY34" s="73">
        <f t="shared" si="28"/>
        <v>0</v>
      </c>
      <c r="BZ34" s="73">
        <f t="shared" si="28"/>
        <v>0</v>
      </c>
      <c r="CA34" s="73">
        <f t="shared" si="28"/>
        <v>0</v>
      </c>
      <c r="CB34" s="73">
        <f t="shared" si="28"/>
        <v>0</v>
      </c>
      <c r="CC34" s="73">
        <f t="shared" si="28"/>
        <v>0</v>
      </c>
      <c r="CD34" s="73">
        <f t="shared" si="28"/>
        <v>0</v>
      </c>
      <c r="CE34" s="73">
        <f t="shared" si="28"/>
        <v>0</v>
      </c>
    </row>
    <row r="35" s="29" customFormat="1" ht="13.4" outlineLevel="1" spans="2:83">
      <c r="B35" s="62">
        <v>24</v>
      </c>
      <c r="C35" s="76"/>
      <c r="D35" s="63"/>
      <c r="E35" s="63"/>
      <c r="F35" s="63"/>
      <c r="G35" s="64"/>
      <c r="H35" s="65"/>
      <c r="I35" s="66"/>
      <c r="J35" s="66">
        <f t="shared" si="4"/>
        <v>0</v>
      </c>
      <c r="K35" s="67"/>
      <c r="L35" s="67"/>
      <c r="M35" s="67"/>
      <c r="N35" s="67"/>
      <c r="O35" s="67"/>
      <c r="P35" s="68"/>
      <c r="Q35" s="68"/>
      <c r="R35" s="68"/>
      <c r="S35" s="68"/>
      <c r="T35" s="68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6">
        <f t="shared" si="5"/>
        <v>0</v>
      </c>
      <c r="AV35" s="73">
        <f t="shared" ref="AV35:CE35" si="29">$H35/K$9*K35</f>
        <v>0</v>
      </c>
      <c r="AW35" s="73">
        <f t="shared" si="29"/>
        <v>0</v>
      </c>
      <c r="AX35" s="73">
        <f t="shared" si="29"/>
        <v>0</v>
      </c>
      <c r="AY35" s="73">
        <f t="shared" si="29"/>
        <v>0</v>
      </c>
      <c r="AZ35" s="73">
        <f t="shared" si="29"/>
        <v>0</v>
      </c>
      <c r="BA35" s="73">
        <f t="shared" si="29"/>
        <v>0</v>
      </c>
      <c r="BB35" s="73">
        <f t="shared" si="29"/>
        <v>0</v>
      </c>
      <c r="BC35" s="73">
        <f t="shared" si="29"/>
        <v>0</v>
      </c>
      <c r="BD35" s="73">
        <f t="shared" si="29"/>
        <v>0</v>
      </c>
      <c r="BE35" s="73">
        <f t="shared" si="29"/>
        <v>0</v>
      </c>
      <c r="BF35" s="73">
        <f t="shared" si="29"/>
        <v>0</v>
      </c>
      <c r="BG35" s="73">
        <f t="shared" si="29"/>
        <v>0</v>
      </c>
      <c r="BH35" s="73">
        <f t="shared" si="29"/>
        <v>0</v>
      </c>
      <c r="BI35" s="73">
        <f t="shared" si="29"/>
        <v>0</v>
      </c>
      <c r="BJ35" s="73">
        <f t="shared" si="29"/>
        <v>0</v>
      </c>
      <c r="BK35" s="73">
        <f t="shared" si="29"/>
        <v>0</v>
      </c>
      <c r="BL35" s="73">
        <f t="shared" si="29"/>
        <v>0</v>
      </c>
      <c r="BM35" s="73">
        <f t="shared" si="29"/>
        <v>0</v>
      </c>
      <c r="BN35" s="73">
        <f t="shared" si="29"/>
        <v>0</v>
      </c>
      <c r="BO35" s="73">
        <f t="shared" si="29"/>
        <v>0</v>
      </c>
      <c r="BP35" s="73">
        <f t="shared" si="29"/>
        <v>0</v>
      </c>
      <c r="BQ35" s="73">
        <f t="shared" si="29"/>
        <v>0</v>
      </c>
      <c r="BR35" s="73">
        <f t="shared" si="29"/>
        <v>0</v>
      </c>
      <c r="BS35" s="73">
        <f t="shared" si="29"/>
        <v>0</v>
      </c>
      <c r="BT35" s="73">
        <f t="shared" si="29"/>
        <v>0</v>
      </c>
      <c r="BU35" s="73">
        <f t="shared" si="29"/>
        <v>0</v>
      </c>
      <c r="BV35" s="73">
        <f t="shared" si="29"/>
        <v>0</v>
      </c>
      <c r="BW35" s="73">
        <f t="shared" si="29"/>
        <v>0</v>
      </c>
      <c r="BX35" s="73">
        <f t="shared" si="29"/>
        <v>0</v>
      </c>
      <c r="BY35" s="73">
        <f t="shared" si="29"/>
        <v>0</v>
      </c>
      <c r="BZ35" s="73">
        <f t="shared" si="29"/>
        <v>0</v>
      </c>
      <c r="CA35" s="73">
        <f t="shared" si="29"/>
        <v>0</v>
      </c>
      <c r="CB35" s="73">
        <f t="shared" si="29"/>
        <v>0</v>
      </c>
      <c r="CC35" s="73">
        <f t="shared" si="29"/>
        <v>0</v>
      </c>
      <c r="CD35" s="73">
        <f t="shared" si="29"/>
        <v>0</v>
      </c>
      <c r="CE35" s="73">
        <f t="shared" si="29"/>
        <v>0</v>
      </c>
    </row>
    <row r="36" s="29" customFormat="1" ht="13.4" outlineLevel="1" spans="2:83">
      <c r="B36" s="62">
        <v>25</v>
      </c>
      <c r="C36" s="76"/>
      <c r="D36" s="63"/>
      <c r="E36" s="63"/>
      <c r="F36" s="63"/>
      <c r="G36" s="64"/>
      <c r="H36" s="65"/>
      <c r="I36" s="66"/>
      <c r="J36" s="66">
        <f t="shared" si="4"/>
        <v>0</v>
      </c>
      <c r="K36" s="67"/>
      <c r="L36" s="67"/>
      <c r="M36" s="67"/>
      <c r="N36" s="67"/>
      <c r="O36" s="67"/>
      <c r="P36" s="68"/>
      <c r="Q36" s="68"/>
      <c r="R36" s="68"/>
      <c r="S36" s="68"/>
      <c r="T36" s="68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6">
        <f t="shared" si="5"/>
        <v>0</v>
      </c>
      <c r="AV36" s="73">
        <f t="shared" ref="AV36:CE36" si="30">$H36/K$9*K36</f>
        <v>0</v>
      </c>
      <c r="AW36" s="73">
        <f t="shared" si="30"/>
        <v>0</v>
      </c>
      <c r="AX36" s="73">
        <f t="shared" si="30"/>
        <v>0</v>
      </c>
      <c r="AY36" s="73">
        <f t="shared" si="30"/>
        <v>0</v>
      </c>
      <c r="AZ36" s="73">
        <f t="shared" si="30"/>
        <v>0</v>
      </c>
      <c r="BA36" s="73">
        <f t="shared" si="30"/>
        <v>0</v>
      </c>
      <c r="BB36" s="73">
        <f t="shared" si="30"/>
        <v>0</v>
      </c>
      <c r="BC36" s="73">
        <f t="shared" si="30"/>
        <v>0</v>
      </c>
      <c r="BD36" s="73">
        <f t="shared" si="30"/>
        <v>0</v>
      </c>
      <c r="BE36" s="73">
        <f t="shared" si="30"/>
        <v>0</v>
      </c>
      <c r="BF36" s="73">
        <f t="shared" si="30"/>
        <v>0</v>
      </c>
      <c r="BG36" s="73">
        <f t="shared" si="30"/>
        <v>0</v>
      </c>
      <c r="BH36" s="73">
        <f t="shared" si="30"/>
        <v>0</v>
      </c>
      <c r="BI36" s="73">
        <f t="shared" si="30"/>
        <v>0</v>
      </c>
      <c r="BJ36" s="73">
        <f t="shared" si="30"/>
        <v>0</v>
      </c>
      <c r="BK36" s="73">
        <f t="shared" si="30"/>
        <v>0</v>
      </c>
      <c r="BL36" s="73">
        <f t="shared" si="30"/>
        <v>0</v>
      </c>
      <c r="BM36" s="73">
        <f t="shared" si="30"/>
        <v>0</v>
      </c>
      <c r="BN36" s="73">
        <f t="shared" si="30"/>
        <v>0</v>
      </c>
      <c r="BO36" s="73">
        <f t="shared" si="30"/>
        <v>0</v>
      </c>
      <c r="BP36" s="73">
        <f t="shared" si="30"/>
        <v>0</v>
      </c>
      <c r="BQ36" s="73">
        <f t="shared" si="30"/>
        <v>0</v>
      </c>
      <c r="BR36" s="73">
        <f t="shared" si="30"/>
        <v>0</v>
      </c>
      <c r="BS36" s="73">
        <f t="shared" si="30"/>
        <v>0</v>
      </c>
      <c r="BT36" s="73">
        <f t="shared" si="30"/>
        <v>0</v>
      </c>
      <c r="BU36" s="73">
        <f t="shared" si="30"/>
        <v>0</v>
      </c>
      <c r="BV36" s="73">
        <f t="shared" si="30"/>
        <v>0</v>
      </c>
      <c r="BW36" s="73">
        <f t="shared" si="30"/>
        <v>0</v>
      </c>
      <c r="BX36" s="73">
        <f t="shared" si="30"/>
        <v>0</v>
      </c>
      <c r="BY36" s="73">
        <f t="shared" si="30"/>
        <v>0</v>
      </c>
      <c r="BZ36" s="73">
        <f t="shared" si="30"/>
        <v>0</v>
      </c>
      <c r="CA36" s="73">
        <f t="shared" si="30"/>
        <v>0</v>
      </c>
      <c r="CB36" s="73">
        <f t="shared" si="30"/>
        <v>0</v>
      </c>
      <c r="CC36" s="73">
        <f t="shared" si="30"/>
        <v>0</v>
      </c>
      <c r="CD36" s="73">
        <f t="shared" si="30"/>
        <v>0</v>
      </c>
      <c r="CE36" s="73">
        <f t="shared" si="30"/>
        <v>0</v>
      </c>
    </row>
    <row r="37" s="29" customFormat="1" ht="13.4" outlineLevel="1" spans="2:83">
      <c r="B37" s="62">
        <v>26</v>
      </c>
      <c r="C37" s="76"/>
      <c r="D37" s="63"/>
      <c r="E37" s="63"/>
      <c r="F37" s="63"/>
      <c r="G37" s="64"/>
      <c r="H37" s="65"/>
      <c r="I37" s="66"/>
      <c r="J37" s="66">
        <f t="shared" si="4"/>
        <v>0</v>
      </c>
      <c r="K37" s="67"/>
      <c r="L37" s="67"/>
      <c r="M37" s="67"/>
      <c r="N37" s="67"/>
      <c r="O37" s="67"/>
      <c r="P37" s="68"/>
      <c r="Q37" s="68"/>
      <c r="R37" s="68"/>
      <c r="S37" s="68"/>
      <c r="T37" s="68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6">
        <f t="shared" si="5"/>
        <v>0</v>
      </c>
      <c r="AV37" s="73">
        <f t="shared" ref="AV37:CE37" si="31">$H37/K$9*K37</f>
        <v>0</v>
      </c>
      <c r="AW37" s="73">
        <f t="shared" si="31"/>
        <v>0</v>
      </c>
      <c r="AX37" s="73">
        <f t="shared" si="31"/>
        <v>0</v>
      </c>
      <c r="AY37" s="73">
        <f t="shared" si="31"/>
        <v>0</v>
      </c>
      <c r="AZ37" s="73">
        <f t="shared" si="31"/>
        <v>0</v>
      </c>
      <c r="BA37" s="73">
        <f t="shared" si="31"/>
        <v>0</v>
      </c>
      <c r="BB37" s="73">
        <f t="shared" si="31"/>
        <v>0</v>
      </c>
      <c r="BC37" s="73">
        <f t="shared" si="31"/>
        <v>0</v>
      </c>
      <c r="BD37" s="73">
        <f t="shared" si="31"/>
        <v>0</v>
      </c>
      <c r="BE37" s="73">
        <f t="shared" si="31"/>
        <v>0</v>
      </c>
      <c r="BF37" s="73">
        <f t="shared" si="31"/>
        <v>0</v>
      </c>
      <c r="BG37" s="73">
        <f t="shared" si="31"/>
        <v>0</v>
      </c>
      <c r="BH37" s="73">
        <f t="shared" si="31"/>
        <v>0</v>
      </c>
      <c r="BI37" s="73">
        <f t="shared" si="31"/>
        <v>0</v>
      </c>
      <c r="BJ37" s="73">
        <f t="shared" si="31"/>
        <v>0</v>
      </c>
      <c r="BK37" s="73">
        <f t="shared" si="31"/>
        <v>0</v>
      </c>
      <c r="BL37" s="73">
        <f t="shared" si="31"/>
        <v>0</v>
      </c>
      <c r="BM37" s="73">
        <f t="shared" si="31"/>
        <v>0</v>
      </c>
      <c r="BN37" s="73">
        <f t="shared" si="31"/>
        <v>0</v>
      </c>
      <c r="BO37" s="73">
        <f t="shared" si="31"/>
        <v>0</v>
      </c>
      <c r="BP37" s="73">
        <f t="shared" si="31"/>
        <v>0</v>
      </c>
      <c r="BQ37" s="73">
        <f t="shared" si="31"/>
        <v>0</v>
      </c>
      <c r="BR37" s="73">
        <f t="shared" si="31"/>
        <v>0</v>
      </c>
      <c r="BS37" s="73">
        <f t="shared" si="31"/>
        <v>0</v>
      </c>
      <c r="BT37" s="73">
        <f t="shared" si="31"/>
        <v>0</v>
      </c>
      <c r="BU37" s="73">
        <f t="shared" si="31"/>
        <v>0</v>
      </c>
      <c r="BV37" s="73">
        <f t="shared" si="31"/>
        <v>0</v>
      </c>
      <c r="BW37" s="73">
        <f t="shared" si="31"/>
        <v>0</v>
      </c>
      <c r="BX37" s="73">
        <f t="shared" si="31"/>
        <v>0</v>
      </c>
      <c r="BY37" s="73">
        <f t="shared" si="31"/>
        <v>0</v>
      </c>
      <c r="BZ37" s="73">
        <f t="shared" si="31"/>
        <v>0</v>
      </c>
      <c r="CA37" s="73">
        <f t="shared" si="31"/>
        <v>0</v>
      </c>
      <c r="CB37" s="73">
        <f t="shared" si="31"/>
        <v>0</v>
      </c>
      <c r="CC37" s="73">
        <f t="shared" si="31"/>
        <v>0</v>
      </c>
      <c r="CD37" s="73">
        <f t="shared" si="31"/>
        <v>0</v>
      </c>
      <c r="CE37" s="73">
        <f t="shared" si="31"/>
        <v>0</v>
      </c>
    </row>
    <row r="38" s="29" customFormat="1" ht="13.4" outlineLevel="1" spans="2:83">
      <c r="B38" s="62">
        <v>27</v>
      </c>
      <c r="C38" s="76"/>
      <c r="D38" s="63"/>
      <c r="E38" s="63"/>
      <c r="F38" s="63"/>
      <c r="G38" s="64"/>
      <c r="H38" s="65"/>
      <c r="I38" s="66"/>
      <c r="J38" s="66">
        <f t="shared" si="4"/>
        <v>0</v>
      </c>
      <c r="K38" s="67"/>
      <c r="L38" s="67"/>
      <c r="M38" s="67"/>
      <c r="N38" s="67"/>
      <c r="O38" s="67"/>
      <c r="P38" s="68"/>
      <c r="Q38" s="68"/>
      <c r="R38" s="68"/>
      <c r="S38" s="68"/>
      <c r="T38" s="68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6">
        <f t="shared" si="5"/>
        <v>0</v>
      </c>
      <c r="AV38" s="73">
        <f t="shared" ref="AV38:CE38" si="32">$H38/K$9*K38</f>
        <v>0</v>
      </c>
      <c r="AW38" s="73">
        <f t="shared" si="32"/>
        <v>0</v>
      </c>
      <c r="AX38" s="73">
        <f t="shared" si="32"/>
        <v>0</v>
      </c>
      <c r="AY38" s="73">
        <f t="shared" si="32"/>
        <v>0</v>
      </c>
      <c r="AZ38" s="73">
        <f t="shared" si="32"/>
        <v>0</v>
      </c>
      <c r="BA38" s="73">
        <f t="shared" si="32"/>
        <v>0</v>
      </c>
      <c r="BB38" s="73">
        <f t="shared" si="32"/>
        <v>0</v>
      </c>
      <c r="BC38" s="73">
        <f t="shared" si="32"/>
        <v>0</v>
      </c>
      <c r="BD38" s="73">
        <f t="shared" si="32"/>
        <v>0</v>
      </c>
      <c r="BE38" s="73">
        <f t="shared" si="32"/>
        <v>0</v>
      </c>
      <c r="BF38" s="73">
        <f t="shared" si="32"/>
        <v>0</v>
      </c>
      <c r="BG38" s="73">
        <f t="shared" si="32"/>
        <v>0</v>
      </c>
      <c r="BH38" s="73">
        <f t="shared" si="32"/>
        <v>0</v>
      </c>
      <c r="BI38" s="73">
        <f t="shared" si="32"/>
        <v>0</v>
      </c>
      <c r="BJ38" s="73">
        <f t="shared" si="32"/>
        <v>0</v>
      </c>
      <c r="BK38" s="73">
        <f t="shared" si="32"/>
        <v>0</v>
      </c>
      <c r="BL38" s="73">
        <f t="shared" si="32"/>
        <v>0</v>
      </c>
      <c r="BM38" s="73">
        <f t="shared" si="32"/>
        <v>0</v>
      </c>
      <c r="BN38" s="73">
        <f t="shared" si="32"/>
        <v>0</v>
      </c>
      <c r="BO38" s="73">
        <f t="shared" si="32"/>
        <v>0</v>
      </c>
      <c r="BP38" s="73">
        <f t="shared" si="32"/>
        <v>0</v>
      </c>
      <c r="BQ38" s="73">
        <f t="shared" si="32"/>
        <v>0</v>
      </c>
      <c r="BR38" s="73">
        <f t="shared" si="32"/>
        <v>0</v>
      </c>
      <c r="BS38" s="73">
        <f t="shared" si="32"/>
        <v>0</v>
      </c>
      <c r="BT38" s="73">
        <f t="shared" si="32"/>
        <v>0</v>
      </c>
      <c r="BU38" s="73">
        <f t="shared" si="32"/>
        <v>0</v>
      </c>
      <c r="BV38" s="73">
        <f t="shared" si="32"/>
        <v>0</v>
      </c>
      <c r="BW38" s="73">
        <f t="shared" si="32"/>
        <v>0</v>
      </c>
      <c r="BX38" s="73">
        <f t="shared" si="32"/>
        <v>0</v>
      </c>
      <c r="BY38" s="73">
        <f t="shared" si="32"/>
        <v>0</v>
      </c>
      <c r="BZ38" s="73">
        <f t="shared" si="32"/>
        <v>0</v>
      </c>
      <c r="CA38" s="73">
        <f t="shared" si="32"/>
        <v>0</v>
      </c>
      <c r="CB38" s="73">
        <f t="shared" si="32"/>
        <v>0</v>
      </c>
      <c r="CC38" s="73">
        <f t="shared" si="32"/>
        <v>0</v>
      </c>
      <c r="CD38" s="73">
        <f t="shared" si="32"/>
        <v>0</v>
      </c>
      <c r="CE38" s="73">
        <f t="shared" si="32"/>
        <v>0</v>
      </c>
    </row>
    <row r="39" s="29" customFormat="1" ht="13.4" outlineLevel="1" spans="2:83">
      <c r="B39" s="62">
        <v>28</v>
      </c>
      <c r="C39" s="76"/>
      <c r="D39" s="63"/>
      <c r="E39" s="63"/>
      <c r="F39" s="63"/>
      <c r="G39" s="64"/>
      <c r="H39" s="65"/>
      <c r="I39" s="66"/>
      <c r="J39" s="66">
        <f t="shared" si="4"/>
        <v>0</v>
      </c>
      <c r="K39" s="67"/>
      <c r="L39" s="67"/>
      <c r="M39" s="67"/>
      <c r="N39" s="67"/>
      <c r="O39" s="67"/>
      <c r="P39" s="68"/>
      <c r="Q39" s="68"/>
      <c r="R39" s="68"/>
      <c r="S39" s="68"/>
      <c r="T39" s="68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6">
        <f t="shared" si="5"/>
        <v>0</v>
      </c>
      <c r="AV39" s="73">
        <f t="shared" ref="AV39:CE39" si="33">$H39/K$9*K39</f>
        <v>0</v>
      </c>
      <c r="AW39" s="73">
        <f t="shared" si="33"/>
        <v>0</v>
      </c>
      <c r="AX39" s="73">
        <f t="shared" si="33"/>
        <v>0</v>
      </c>
      <c r="AY39" s="73">
        <f t="shared" si="33"/>
        <v>0</v>
      </c>
      <c r="AZ39" s="73">
        <f t="shared" si="33"/>
        <v>0</v>
      </c>
      <c r="BA39" s="73">
        <f t="shared" si="33"/>
        <v>0</v>
      </c>
      <c r="BB39" s="73">
        <f t="shared" si="33"/>
        <v>0</v>
      </c>
      <c r="BC39" s="73">
        <f t="shared" si="33"/>
        <v>0</v>
      </c>
      <c r="BD39" s="73">
        <f t="shared" si="33"/>
        <v>0</v>
      </c>
      <c r="BE39" s="73">
        <f t="shared" si="33"/>
        <v>0</v>
      </c>
      <c r="BF39" s="73">
        <f t="shared" si="33"/>
        <v>0</v>
      </c>
      <c r="BG39" s="73">
        <f t="shared" si="33"/>
        <v>0</v>
      </c>
      <c r="BH39" s="73">
        <f t="shared" si="33"/>
        <v>0</v>
      </c>
      <c r="BI39" s="73">
        <f t="shared" si="33"/>
        <v>0</v>
      </c>
      <c r="BJ39" s="73">
        <f t="shared" si="33"/>
        <v>0</v>
      </c>
      <c r="BK39" s="73">
        <f t="shared" si="33"/>
        <v>0</v>
      </c>
      <c r="BL39" s="73">
        <f t="shared" si="33"/>
        <v>0</v>
      </c>
      <c r="BM39" s="73">
        <f t="shared" si="33"/>
        <v>0</v>
      </c>
      <c r="BN39" s="73">
        <f t="shared" si="33"/>
        <v>0</v>
      </c>
      <c r="BO39" s="73">
        <f t="shared" si="33"/>
        <v>0</v>
      </c>
      <c r="BP39" s="73">
        <f t="shared" si="33"/>
        <v>0</v>
      </c>
      <c r="BQ39" s="73">
        <f t="shared" si="33"/>
        <v>0</v>
      </c>
      <c r="BR39" s="73">
        <f t="shared" si="33"/>
        <v>0</v>
      </c>
      <c r="BS39" s="73">
        <f t="shared" si="33"/>
        <v>0</v>
      </c>
      <c r="BT39" s="73">
        <f t="shared" si="33"/>
        <v>0</v>
      </c>
      <c r="BU39" s="73">
        <f t="shared" si="33"/>
        <v>0</v>
      </c>
      <c r="BV39" s="73">
        <f t="shared" si="33"/>
        <v>0</v>
      </c>
      <c r="BW39" s="73">
        <f t="shared" si="33"/>
        <v>0</v>
      </c>
      <c r="BX39" s="73">
        <f t="shared" si="33"/>
        <v>0</v>
      </c>
      <c r="BY39" s="73">
        <f t="shared" si="33"/>
        <v>0</v>
      </c>
      <c r="BZ39" s="73">
        <f t="shared" si="33"/>
        <v>0</v>
      </c>
      <c r="CA39" s="73">
        <f t="shared" si="33"/>
        <v>0</v>
      </c>
      <c r="CB39" s="73">
        <f t="shared" si="33"/>
        <v>0</v>
      </c>
      <c r="CC39" s="73">
        <f t="shared" si="33"/>
        <v>0</v>
      </c>
      <c r="CD39" s="73">
        <f t="shared" si="33"/>
        <v>0</v>
      </c>
      <c r="CE39" s="73">
        <f t="shared" si="33"/>
        <v>0</v>
      </c>
    </row>
    <row r="40" s="29" customFormat="1" ht="13.4" outlineLevel="1" spans="2:83">
      <c r="B40" s="62">
        <v>29</v>
      </c>
      <c r="C40" s="76"/>
      <c r="D40" s="63"/>
      <c r="E40" s="63"/>
      <c r="F40" s="63"/>
      <c r="G40" s="64"/>
      <c r="H40" s="65"/>
      <c r="I40" s="66"/>
      <c r="J40" s="66">
        <f t="shared" si="4"/>
        <v>0</v>
      </c>
      <c r="K40" s="67"/>
      <c r="L40" s="67"/>
      <c r="M40" s="67"/>
      <c r="N40" s="67"/>
      <c r="O40" s="67"/>
      <c r="P40" s="68"/>
      <c r="Q40" s="68"/>
      <c r="R40" s="68"/>
      <c r="S40" s="68"/>
      <c r="T40" s="68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6">
        <f t="shared" si="5"/>
        <v>0</v>
      </c>
      <c r="AV40" s="73">
        <f t="shared" ref="AV40:CE40" si="34">$H40/K$9*K40</f>
        <v>0</v>
      </c>
      <c r="AW40" s="73">
        <f t="shared" si="34"/>
        <v>0</v>
      </c>
      <c r="AX40" s="73">
        <f t="shared" si="34"/>
        <v>0</v>
      </c>
      <c r="AY40" s="73">
        <f t="shared" si="34"/>
        <v>0</v>
      </c>
      <c r="AZ40" s="73">
        <f t="shared" si="34"/>
        <v>0</v>
      </c>
      <c r="BA40" s="73">
        <f t="shared" si="34"/>
        <v>0</v>
      </c>
      <c r="BB40" s="73">
        <f t="shared" si="34"/>
        <v>0</v>
      </c>
      <c r="BC40" s="73">
        <f t="shared" si="34"/>
        <v>0</v>
      </c>
      <c r="BD40" s="73">
        <f t="shared" si="34"/>
        <v>0</v>
      </c>
      <c r="BE40" s="73">
        <f t="shared" si="34"/>
        <v>0</v>
      </c>
      <c r="BF40" s="73">
        <f t="shared" si="34"/>
        <v>0</v>
      </c>
      <c r="BG40" s="73">
        <f t="shared" si="34"/>
        <v>0</v>
      </c>
      <c r="BH40" s="73">
        <f t="shared" si="34"/>
        <v>0</v>
      </c>
      <c r="BI40" s="73">
        <f t="shared" si="34"/>
        <v>0</v>
      </c>
      <c r="BJ40" s="73">
        <f t="shared" si="34"/>
        <v>0</v>
      </c>
      <c r="BK40" s="73">
        <f t="shared" si="34"/>
        <v>0</v>
      </c>
      <c r="BL40" s="73">
        <f t="shared" si="34"/>
        <v>0</v>
      </c>
      <c r="BM40" s="73">
        <f t="shared" si="34"/>
        <v>0</v>
      </c>
      <c r="BN40" s="73">
        <f t="shared" si="34"/>
        <v>0</v>
      </c>
      <c r="BO40" s="73">
        <f t="shared" si="34"/>
        <v>0</v>
      </c>
      <c r="BP40" s="73">
        <f t="shared" si="34"/>
        <v>0</v>
      </c>
      <c r="BQ40" s="73">
        <f t="shared" si="34"/>
        <v>0</v>
      </c>
      <c r="BR40" s="73">
        <f t="shared" si="34"/>
        <v>0</v>
      </c>
      <c r="BS40" s="73">
        <f t="shared" si="34"/>
        <v>0</v>
      </c>
      <c r="BT40" s="73">
        <f t="shared" si="34"/>
        <v>0</v>
      </c>
      <c r="BU40" s="73">
        <f t="shared" si="34"/>
        <v>0</v>
      </c>
      <c r="BV40" s="73">
        <f t="shared" si="34"/>
        <v>0</v>
      </c>
      <c r="BW40" s="73">
        <f t="shared" si="34"/>
        <v>0</v>
      </c>
      <c r="BX40" s="73">
        <f t="shared" si="34"/>
        <v>0</v>
      </c>
      <c r="BY40" s="73">
        <f t="shared" si="34"/>
        <v>0</v>
      </c>
      <c r="BZ40" s="73">
        <f t="shared" si="34"/>
        <v>0</v>
      </c>
      <c r="CA40" s="73">
        <f t="shared" si="34"/>
        <v>0</v>
      </c>
      <c r="CB40" s="73">
        <f t="shared" si="34"/>
        <v>0</v>
      </c>
      <c r="CC40" s="73">
        <f t="shared" si="34"/>
        <v>0</v>
      </c>
      <c r="CD40" s="73">
        <f t="shared" si="34"/>
        <v>0</v>
      </c>
      <c r="CE40" s="73">
        <f t="shared" si="34"/>
        <v>0</v>
      </c>
    </row>
    <row r="41" s="29" customFormat="1" ht="13.4" outlineLevel="1" spans="2:83">
      <c r="B41" s="62">
        <v>30</v>
      </c>
      <c r="C41" s="76"/>
      <c r="D41" s="63"/>
      <c r="E41" s="63"/>
      <c r="F41" s="63"/>
      <c r="G41" s="64"/>
      <c r="H41" s="65"/>
      <c r="I41" s="66"/>
      <c r="J41" s="66">
        <f t="shared" si="4"/>
        <v>0</v>
      </c>
      <c r="K41" s="67"/>
      <c r="L41" s="67"/>
      <c r="M41" s="67"/>
      <c r="N41" s="67"/>
      <c r="O41" s="67"/>
      <c r="P41" s="68"/>
      <c r="Q41" s="68"/>
      <c r="R41" s="68"/>
      <c r="S41" s="68"/>
      <c r="T41" s="68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6">
        <f t="shared" si="5"/>
        <v>0</v>
      </c>
      <c r="AV41" s="73">
        <f t="shared" ref="AV41:CE41" si="35">$H41/K$9*K41</f>
        <v>0</v>
      </c>
      <c r="AW41" s="73">
        <f t="shared" si="35"/>
        <v>0</v>
      </c>
      <c r="AX41" s="73">
        <f t="shared" si="35"/>
        <v>0</v>
      </c>
      <c r="AY41" s="73">
        <f t="shared" si="35"/>
        <v>0</v>
      </c>
      <c r="AZ41" s="73">
        <f t="shared" si="35"/>
        <v>0</v>
      </c>
      <c r="BA41" s="73">
        <f t="shared" si="35"/>
        <v>0</v>
      </c>
      <c r="BB41" s="73">
        <f t="shared" si="35"/>
        <v>0</v>
      </c>
      <c r="BC41" s="73">
        <f t="shared" si="35"/>
        <v>0</v>
      </c>
      <c r="BD41" s="73">
        <f t="shared" si="35"/>
        <v>0</v>
      </c>
      <c r="BE41" s="73">
        <f t="shared" si="35"/>
        <v>0</v>
      </c>
      <c r="BF41" s="73">
        <f t="shared" si="35"/>
        <v>0</v>
      </c>
      <c r="BG41" s="73">
        <f t="shared" si="35"/>
        <v>0</v>
      </c>
      <c r="BH41" s="73">
        <f t="shared" si="35"/>
        <v>0</v>
      </c>
      <c r="BI41" s="73">
        <f t="shared" si="35"/>
        <v>0</v>
      </c>
      <c r="BJ41" s="73">
        <f t="shared" si="35"/>
        <v>0</v>
      </c>
      <c r="BK41" s="73">
        <f t="shared" si="35"/>
        <v>0</v>
      </c>
      <c r="BL41" s="73">
        <f t="shared" si="35"/>
        <v>0</v>
      </c>
      <c r="BM41" s="73">
        <f t="shared" si="35"/>
        <v>0</v>
      </c>
      <c r="BN41" s="73">
        <f t="shared" si="35"/>
        <v>0</v>
      </c>
      <c r="BO41" s="73">
        <f t="shared" si="35"/>
        <v>0</v>
      </c>
      <c r="BP41" s="73">
        <f t="shared" si="35"/>
        <v>0</v>
      </c>
      <c r="BQ41" s="73">
        <f t="shared" si="35"/>
        <v>0</v>
      </c>
      <c r="BR41" s="73">
        <f t="shared" si="35"/>
        <v>0</v>
      </c>
      <c r="BS41" s="73">
        <f t="shared" si="35"/>
        <v>0</v>
      </c>
      <c r="BT41" s="73">
        <f t="shared" si="35"/>
        <v>0</v>
      </c>
      <c r="BU41" s="73">
        <f t="shared" si="35"/>
        <v>0</v>
      </c>
      <c r="BV41" s="73">
        <f t="shared" si="35"/>
        <v>0</v>
      </c>
      <c r="BW41" s="73">
        <f t="shared" si="35"/>
        <v>0</v>
      </c>
      <c r="BX41" s="73">
        <f t="shared" si="35"/>
        <v>0</v>
      </c>
      <c r="BY41" s="73">
        <f t="shared" si="35"/>
        <v>0</v>
      </c>
      <c r="BZ41" s="73">
        <f t="shared" si="35"/>
        <v>0</v>
      </c>
      <c r="CA41" s="73">
        <f t="shared" si="35"/>
        <v>0</v>
      </c>
      <c r="CB41" s="73">
        <f t="shared" si="35"/>
        <v>0</v>
      </c>
      <c r="CC41" s="73">
        <f t="shared" si="35"/>
        <v>0</v>
      </c>
      <c r="CD41" s="73">
        <f t="shared" si="35"/>
        <v>0</v>
      </c>
      <c r="CE41" s="73">
        <f t="shared" si="35"/>
        <v>0</v>
      </c>
    </row>
    <row r="42" s="29" customFormat="1" ht="13.4" outlineLevel="1" spans="2:83">
      <c r="B42" s="62">
        <v>31</v>
      </c>
      <c r="C42" s="76"/>
      <c r="D42" s="63"/>
      <c r="E42" s="63"/>
      <c r="F42" s="63"/>
      <c r="G42" s="64"/>
      <c r="H42" s="65"/>
      <c r="I42" s="66"/>
      <c r="J42" s="66">
        <f t="shared" si="4"/>
        <v>0</v>
      </c>
      <c r="K42" s="67"/>
      <c r="L42" s="67"/>
      <c r="M42" s="67"/>
      <c r="N42" s="67"/>
      <c r="O42" s="67"/>
      <c r="P42" s="68"/>
      <c r="Q42" s="68"/>
      <c r="R42" s="68"/>
      <c r="S42" s="68"/>
      <c r="T42" s="68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6">
        <f t="shared" si="5"/>
        <v>0</v>
      </c>
      <c r="AV42" s="73">
        <f t="shared" ref="AV42:CE42" si="36">$H42/K$9*K42</f>
        <v>0</v>
      </c>
      <c r="AW42" s="73">
        <f t="shared" si="36"/>
        <v>0</v>
      </c>
      <c r="AX42" s="73">
        <f t="shared" si="36"/>
        <v>0</v>
      </c>
      <c r="AY42" s="73">
        <f t="shared" si="36"/>
        <v>0</v>
      </c>
      <c r="AZ42" s="73">
        <f t="shared" si="36"/>
        <v>0</v>
      </c>
      <c r="BA42" s="73">
        <f t="shared" si="36"/>
        <v>0</v>
      </c>
      <c r="BB42" s="73">
        <f t="shared" si="36"/>
        <v>0</v>
      </c>
      <c r="BC42" s="73">
        <f t="shared" si="36"/>
        <v>0</v>
      </c>
      <c r="BD42" s="73">
        <f t="shared" si="36"/>
        <v>0</v>
      </c>
      <c r="BE42" s="73">
        <f t="shared" si="36"/>
        <v>0</v>
      </c>
      <c r="BF42" s="73">
        <f t="shared" si="36"/>
        <v>0</v>
      </c>
      <c r="BG42" s="73">
        <f t="shared" si="36"/>
        <v>0</v>
      </c>
      <c r="BH42" s="73">
        <f t="shared" si="36"/>
        <v>0</v>
      </c>
      <c r="BI42" s="73">
        <f t="shared" si="36"/>
        <v>0</v>
      </c>
      <c r="BJ42" s="73">
        <f t="shared" si="36"/>
        <v>0</v>
      </c>
      <c r="BK42" s="73">
        <f t="shared" si="36"/>
        <v>0</v>
      </c>
      <c r="BL42" s="73">
        <f t="shared" si="36"/>
        <v>0</v>
      </c>
      <c r="BM42" s="73">
        <f t="shared" si="36"/>
        <v>0</v>
      </c>
      <c r="BN42" s="73">
        <f t="shared" si="36"/>
        <v>0</v>
      </c>
      <c r="BO42" s="73">
        <f t="shared" si="36"/>
        <v>0</v>
      </c>
      <c r="BP42" s="73">
        <f t="shared" si="36"/>
        <v>0</v>
      </c>
      <c r="BQ42" s="73">
        <f t="shared" si="36"/>
        <v>0</v>
      </c>
      <c r="BR42" s="73">
        <f t="shared" si="36"/>
        <v>0</v>
      </c>
      <c r="BS42" s="73">
        <f t="shared" si="36"/>
        <v>0</v>
      </c>
      <c r="BT42" s="73">
        <f t="shared" si="36"/>
        <v>0</v>
      </c>
      <c r="BU42" s="73">
        <f t="shared" si="36"/>
        <v>0</v>
      </c>
      <c r="BV42" s="73">
        <f t="shared" si="36"/>
        <v>0</v>
      </c>
      <c r="BW42" s="73">
        <f t="shared" si="36"/>
        <v>0</v>
      </c>
      <c r="BX42" s="73">
        <f t="shared" si="36"/>
        <v>0</v>
      </c>
      <c r="BY42" s="73">
        <f t="shared" si="36"/>
        <v>0</v>
      </c>
      <c r="BZ42" s="73">
        <f t="shared" si="36"/>
        <v>0</v>
      </c>
      <c r="CA42" s="73">
        <f t="shared" si="36"/>
        <v>0</v>
      </c>
      <c r="CB42" s="73">
        <f t="shared" si="36"/>
        <v>0</v>
      </c>
      <c r="CC42" s="73">
        <f t="shared" si="36"/>
        <v>0</v>
      </c>
      <c r="CD42" s="73">
        <f t="shared" si="36"/>
        <v>0</v>
      </c>
      <c r="CE42" s="73">
        <f t="shared" si="36"/>
        <v>0</v>
      </c>
    </row>
    <row r="43" s="29" customFormat="1" ht="13.4" outlineLevel="1" spans="2:83">
      <c r="B43" s="62">
        <v>32</v>
      </c>
      <c r="C43" s="62"/>
      <c r="D43" s="63"/>
      <c r="E43" s="63"/>
      <c r="F43" s="63"/>
      <c r="G43" s="64"/>
      <c r="H43" s="65"/>
      <c r="I43" s="66"/>
      <c r="J43" s="66">
        <f t="shared" si="4"/>
        <v>0</v>
      </c>
      <c r="K43" s="67"/>
      <c r="L43" s="67"/>
      <c r="M43" s="67"/>
      <c r="N43" s="67"/>
      <c r="O43" s="67"/>
      <c r="P43" s="68"/>
      <c r="Q43" s="68"/>
      <c r="R43" s="74"/>
      <c r="S43" s="74"/>
      <c r="T43" s="74"/>
      <c r="U43" s="71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6">
        <f t="shared" si="5"/>
        <v>0</v>
      </c>
      <c r="AV43" s="73">
        <f t="shared" ref="AV43:CE43" si="37">$H43/K$9*K43</f>
        <v>0</v>
      </c>
      <c r="AW43" s="73">
        <f t="shared" si="37"/>
        <v>0</v>
      </c>
      <c r="AX43" s="73">
        <f t="shared" si="37"/>
        <v>0</v>
      </c>
      <c r="AY43" s="73">
        <f t="shared" si="37"/>
        <v>0</v>
      </c>
      <c r="AZ43" s="73">
        <f t="shared" si="37"/>
        <v>0</v>
      </c>
      <c r="BA43" s="73">
        <f t="shared" si="37"/>
        <v>0</v>
      </c>
      <c r="BB43" s="73">
        <f t="shared" si="37"/>
        <v>0</v>
      </c>
      <c r="BC43" s="73">
        <f t="shared" si="37"/>
        <v>0</v>
      </c>
      <c r="BD43" s="73">
        <f t="shared" si="37"/>
        <v>0</v>
      </c>
      <c r="BE43" s="73">
        <f t="shared" si="37"/>
        <v>0</v>
      </c>
      <c r="BF43" s="73">
        <f t="shared" si="37"/>
        <v>0</v>
      </c>
      <c r="BG43" s="73">
        <f t="shared" si="37"/>
        <v>0</v>
      </c>
      <c r="BH43" s="73">
        <f t="shared" si="37"/>
        <v>0</v>
      </c>
      <c r="BI43" s="73">
        <f t="shared" si="37"/>
        <v>0</v>
      </c>
      <c r="BJ43" s="73">
        <f t="shared" si="37"/>
        <v>0</v>
      </c>
      <c r="BK43" s="73">
        <f t="shared" si="37"/>
        <v>0</v>
      </c>
      <c r="BL43" s="73">
        <f t="shared" si="37"/>
        <v>0</v>
      </c>
      <c r="BM43" s="73">
        <f t="shared" si="37"/>
        <v>0</v>
      </c>
      <c r="BN43" s="73">
        <f t="shared" si="37"/>
        <v>0</v>
      </c>
      <c r="BO43" s="73">
        <f t="shared" si="37"/>
        <v>0</v>
      </c>
      <c r="BP43" s="73">
        <f t="shared" si="37"/>
        <v>0</v>
      </c>
      <c r="BQ43" s="73">
        <f t="shared" si="37"/>
        <v>0</v>
      </c>
      <c r="BR43" s="73">
        <f t="shared" si="37"/>
        <v>0</v>
      </c>
      <c r="BS43" s="73">
        <f t="shared" si="37"/>
        <v>0</v>
      </c>
      <c r="BT43" s="73">
        <f t="shared" si="37"/>
        <v>0</v>
      </c>
      <c r="BU43" s="73">
        <f t="shared" si="37"/>
        <v>0</v>
      </c>
      <c r="BV43" s="73">
        <f t="shared" si="37"/>
        <v>0</v>
      </c>
      <c r="BW43" s="73">
        <f t="shared" si="37"/>
        <v>0</v>
      </c>
      <c r="BX43" s="73">
        <f t="shared" si="37"/>
        <v>0</v>
      </c>
      <c r="BY43" s="73">
        <f t="shared" si="37"/>
        <v>0</v>
      </c>
      <c r="BZ43" s="73">
        <f t="shared" si="37"/>
        <v>0</v>
      </c>
      <c r="CA43" s="73">
        <f t="shared" si="37"/>
        <v>0</v>
      </c>
      <c r="CB43" s="73">
        <f t="shared" si="37"/>
        <v>0</v>
      </c>
      <c r="CC43" s="73">
        <f t="shared" si="37"/>
        <v>0</v>
      </c>
      <c r="CD43" s="73">
        <f t="shared" si="37"/>
        <v>0</v>
      </c>
      <c r="CE43" s="73">
        <f t="shared" si="37"/>
        <v>0</v>
      </c>
    </row>
    <row r="44" s="29" customFormat="1" ht="13.4" outlineLevel="1" spans="2:83">
      <c r="B44" s="62">
        <v>33</v>
      </c>
      <c r="C44" s="76"/>
      <c r="D44" s="63"/>
      <c r="E44" s="63"/>
      <c r="F44" s="63"/>
      <c r="G44" s="64"/>
      <c r="H44" s="65"/>
      <c r="I44" s="66"/>
      <c r="J44" s="66">
        <f t="shared" si="4"/>
        <v>0</v>
      </c>
      <c r="K44" s="67"/>
      <c r="L44" s="67"/>
      <c r="M44" s="67"/>
      <c r="N44" s="67"/>
      <c r="O44" s="67"/>
      <c r="P44" s="68"/>
      <c r="Q44" s="68"/>
      <c r="R44" s="68"/>
      <c r="S44" s="68"/>
      <c r="T44" s="68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6">
        <f t="shared" si="5"/>
        <v>0</v>
      </c>
      <c r="AV44" s="73">
        <f t="shared" ref="AV44:CE44" si="38">$H44/K$9*K44</f>
        <v>0</v>
      </c>
      <c r="AW44" s="73">
        <f t="shared" si="38"/>
        <v>0</v>
      </c>
      <c r="AX44" s="73">
        <f t="shared" si="38"/>
        <v>0</v>
      </c>
      <c r="AY44" s="73">
        <f t="shared" si="38"/>
        <v>0</v>
      </c>
      <c r="AZ44" s="73">
        <f t="shared" si="38"/>
        <v>0</v>
      </c>
      <c r="BA44" s="73">
        <f t="shared" si="38"/>
        <v>0</v>
      </c>
      <c r="BB44" s="73">
        <f t="shared" si="38"/>
        <v>0</v>
      </c>
      <c r="BC44" s="73">
        <f t="shared" si="38"/>
        <v>0</v>
      </c>
      <c r="BD44" s="73">
        <f t="shared" si="38"/>
        <v>0</v>
      </c>
      <c r="BE44" s="73">
        <f t="shared" si="38"/>
        <v>0</v>
      </c>
      <c r="BF44" s="73">
        <f t="shared" si="38"/>
        <v>0</v>
      </c>
      <c r="BG44" s="73">
        <f t="shared" si="38"/>
        <v>0</v>
      </c>
      <c r="BH44" s="73">
        <f t="shared" si="38"/>
        <v>0</v>
      </c>
      <c r="BI44" s="73">
        <f t="shared" si="38"/>
        <v>0</v>
      </c>
      <c r="BJ44" s="73">
        <f t="shared" si="38"/>
        <v>0</v>
      </c>
      <c r="BK44" s="73">
        <f t="shared" si="38"/>
        <v>0</v>
      </c>
      <c r="BL44" s="73">
        <f t="shared" si="38"/>
        <v>0</v>
      </c>
      <c r="BM44" s="73">
        <f t="shared" si="38"/>
        <v>0</v>
      </c>
      <c r="BN44" s="73">
        <f t="shared" si="38"/>
        <v>0</v>
      </c>
      <c r="BO44" s="73">
        <f t="shared" si="38"/>
        <v>0</v>
      </c>
      <c r="BP44" s="73">
        <f t="shared" si="38"/>
        <v>0</v>
      </c>
      <c r="BQ44" s="73">
        <f t="shared" si="38"/>
        <v>0</v>
      </c>
      <c r="BR44" s="73">
        <f t="shared" si="38"/>
        <v>0</v>
      </c>
      <c r="BS44" s="73">
        <f t="shared" si="38"/>
        <v>0</v>
      </c>
      <c r="BT44" s="73">
        <f t="shared" si="38"/>
        <v>0</v>
      </c>
      <c r="BU44" s="73">
        <f t="shared" si="38"/>
        <v>0</v>
      </c>
      <c r="BV44" s="73">
        <f t="shared" si="38"/>
        <v>0</v>
      </c>
      <c r="BW44" s="73">
        <f t="shared" si="38"/>
        <v>0</v>
      </c>
      <c r="BX44" s="73">
        <f t="shared" si="38"/>
        <v>0</v>
      </c>
      <c r="BY44" s="73">
        <f t="shared" si="38"/>
        <v>0</v>
      </c>
      <c r="BZ44" s="73">
        <f t="shared" si="38"/>
        <v>0</v>
      </c>
      <c r="CA44" s="73">
        <f t="shared" si="38"/>
        <v>0</v>
      </c>
      <c r="CB44" s="73">
        <f t="shared" si="38"/>
        <v>0</v>
      </c>
      <c r="CC44" s="73">
        <f t="shared" si="38"/>
        <v>0</v>
      </c>
      <c r="CD44" s="73">
        <f t="shared" si="38"/>
        <v>0</v>
      </c>
      <c r="CE44" s="73">
        <f t="shared" si="38"/>
        <v>0</v>
      </c>
    </row>
    <row r="45" s="29" customFormat="1" ht="13.4" outlineLevel="1" spans="2:83">
      <c r="B45" s="62">
        <v>34</v>
      </c>
      <c r="C45" s="62"/>
      <c r="D45" s="63"/>
      <c r="E45" s="63"/>
      <c r="F45" s="63"/>
      <c r="G45" s="64"/>
      <c r="H45" s="65"/>
      <c r="I45" s="66"/>
      <c r="J45" s="66">
        <f t="shared" si="4"/>
        <v>0</v>
      </c>
      <c r="K45" s="67"/>
      <c r="L45" s="67"/>
      <c r="M45" s="67"/>
      <c r="N45" s="67"/>
      <c r="O45" s="67"/>
      <c r="P45" s="68"/>
      <c r="Q45" s="68"/>
      <c r="R45" s="68"/>
      <c r="S45" s="68"/>
      <c r="T45" s="68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6">
        <f t="shared" si="5"/>
        <v>0</v>
      </c>
      <c r="AV45" s="73">
        <f t="shared" ref="AV45:CE45" si="39">$H45/K$9*K45</f>
        <v>0</v>
      </c>
      <c r="AW45" s="73">
        <f t="shared" si="39"/>
        <v>0</v>
      </c>
      <c r="AX45" s="73">
        <f t="shared" si="39"/>
        <v>0</v>
      </c>
      <c r="AY45" s="73">
        <f t="shared" si="39"/>
        <v>0</v>
      </c>
      <c r="AZ45" s="73">
        <f t="shared" si="39"/>
        <v>0</v>
      </c>
      <c r="BA45" s="73">
        <f t="shared" si="39"/>
        <v>0</v>
      </c>
      <c r="BB45" s="73">
        <f t="shared" si="39"/>
        <v>0</v>
      </c>
      <c r="BC45" s="73">
        <f t="shared" si="39"/>
        <v>0</v>
      </c>
      <c r="BD45" s="73">
        <f t="shared" si="39"/>
        <v>0</v>
      </c>
      <c r="BE45" s="73">
        <f t="shared" si="39"/>
        <v>0</v>
      </c>
      <c r="BF45" s="73">
        <f t="shared" si="39"/>
        <v>0</v>
      </c>
      <c r="BG45" s="73">
        <f t="shared" si="39"/>
        <v>0</v>
      </c>
      <c r="BH45" s="73">
        <f t="shared" si="39"/>
        <v>0</v>
      </c>
      <c r="BI45" s="73">
        <f t="shared" si="39"/>
        <v>0</v>
      </c>
      <c r="BJ45" s="73">
        <f t="shared" si="39"/>
        <v>0</v>
      </c>
      <c r="BK45" s="73">
        <f t="shared" si="39"/>
        <v>0</v>
      </c>
      <c r="BL45" s="73">
        <f t="shared" si="39"/>
        <v>0</v>
      </c>
      <c r="BM45" s="73">
        <f t="shared" si="39"/>
        <v>0</v>
      </c>
      <c r="BN45" s="73">
        <f t="shared" si="39"/>
        <v>0</v>
      </c>
      <c r="BO45" s="73">
        <f t="shared" si="39"/>
        <v>0</v>
      </c>
      <c r="BP45" s="73">
        <f t="shared" si="39"/>
        <v>0</v>
      </c>
      <c r="BQ45" s="73">
        <f t="shared" si="39"/>
        <v>0</v>
      </c>
      <c r="BR45" s="73">
        <f t="shared" si="39"/>
        <v>0</v>
      </c>
      <c r="BS45" s="73">
        <f t="shared" si="39"/>
        <v>0</v>
      </c>
      <c r="BT45" s="73">
        <f t="shared" si="39"/>
        <v>0</v>
      </c>
      <c r="BU45" s="73">
        <f t="shared" si="39"/>
        <v>0</v>
      </c>
      <c r="BV45" s="73">
        <f t="shared" si="39"/>
        <v>0</v>
      </c>
      <c r="BW45" s="73">
        <f t="shared" si="39"/>
        <v>0</v>
      </c>
      <c r="BX45" s="73">
        <f t="shared" si="39"/>
        <v>0</v>
      </c>
      <c r="BY45" s="73">
        <f t="shared" si="39"/>
        <v>0</v>
      </c>
      <c r="BZ45" s="73">
        <f t="shared" si="39"/>
        <v>0</v>
      </c>
      <c r="CA45" s="73">
        <f t="shared" si="39"/>
        <v>0</v>
      </c>
      <c r="CB45" s="73">
        <f t="shared" si="39"/>
        <v>0</v>
      </c>
      <c r="CC45" s="73">
        <f t="shared" si="39"/>
        <v>0</v>
      </c>
      <c r="CD45" s="73">
        <f t="shared" si="39"/>
        <v>0</v>
      </c>
      <c r="CE45" s="73">
        <f t="shared" si="39"/>
        <v>0</v>
      </c>
    </row>
    <row r="46" s="29" customFormat="1" ht="13.4" outlineLevel="1" spans="2:83">
      <c r="B46" s="62">
        <v>35</v>
      </c>
      <c r="C46" s="76"/>
      <c r="D46" s="63"/>
      <c r="E46" s="63"/>
      <c r="F46" s="63"/>
      <c r="G46" s="64"/>
      <c r="H46" s="65"/>
      <c r="I46" s="66"/>
      <c r="J46" s="66">
        <f t="shared" si="4"/>
        <v>0</v>
      </c>
      <c r="K46" s="67"/>
      <c r="L46" s="67"/>
      <c r="M46" s="67"/>
      <c r="N46" s="67"/>
      <c r="O46" s="67"/>
      <c r="P46" s="68"/>
      <c r="Q46" s="68"/>
      <c r="R46" s="68"/>
      <c r="S46" s="68"/>
      <c r="T46" s="68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6">
        <f t="shared" si="5"/>
        <v>0</v>
      </c>
      <c r="AV46" s="73">
        <f t="shared" ref="AV46:CE46" si="40">$H46/K$9*K46</f>
        <v>0</v>
      </c>
      <c r="AW46" s="73">
        <f t="shared" si="40"/>
        <v>0</v>
      </c>
      <c r="AX46" s="73">
        <f t="shared" si="40"/>
        <v>0</v>
      </c>
      <c r="AY46" s="73">
        <f t="shared" si="40"/>
        <v>0</v>
      </c>
      <c r="AZ46" s="73">
        <f t="shared" si="40"/>
        <v>0</v>
      </c>
      <c r="BA46" s="73">
        <f t="shared" si="40"/>
        <v>0</v>
      </c>
      <c r="BB46" s="73">
        <f t="shared" si="40"/>
        <v>0</v>
      </c>
      <c r="BC46" s="73">
        <f t="shared" si="40"/>
        <v>0</v>
      </c>
      <c r="BD46" s="73">
        <f t="shared" si="40"/>
        <v>0</v>
      </c>
      <c r="BE46" s="73">
        <f t="shared" si="40"/>
        <v>0</v>
      </c>
      <c r="BF46" s="73">
        <f t="shared" si="40"/>
        <v>0</v>
      </c>
      <c r="BG46" s="73">
        <f t="shared" si="40"/>
        <v>0</v>
      </c>
      <c r="BH46" s="73">
        <f t="shared" si="40"/>
        <v>0</v>
      </c>
      <c r="BI46" s="73">
        <f t="shared" si="40"/>
        <v>0</v>
      </c>
      <c r="BJ46" s="73">
        <f t="shared" si="40"/>
        <v>0</v>
      </c>
      <c r="BK46" s="73">
        <f t="shared" si="40"/>
        <v>0</v>
      </c>
      <c r="BL46" s="73">
        <f t="shared" si="40"/>
        <v>0</v>
      </c>
      <c r="BM46" s="73">
        <f t="shared" si="40"/>
        <v>0</v>
      </c>
      <c r="BN46" s="73">
        <f t="shared" si="40"/>
        <v>0</v>
      </c>
      <c r="BO46" s="73">
        <f t="shared" si="40"/>
        <v>0</v>
      </c>
      <c r="BP46" s="73">
        <f t="shared" si="40"/>
        <v>0</v>
      </c>
      <c r="BQ46" s="73">
        <f t="shared" si="40"/>
        <v>0</v>
      </c>
      <c r="BR46" s="73">
        <f t="shared" si="40"/>
        <v>0</v>
      </c>
      <c r="BS46" s="73">
        <f t="shared" si="40"/>
        <v>0</v>
      </c>
      <c r="BT46" s="73">
        <f t="shared" si="40"/>
        <v>0</v>
      </c>
      <c r="BU46" s="73">
        <f t="shared" si="40"/>
        <v>0</v>
      </c>
      <c r="BV46" s="73">
        <f t="shared" si="40"/>
        <v>0</v>
      </c>
      <c r="BW46" s="73">
        <f t="shared" si="40"/>
        <v>0</v>
      </c>
      <c r="BX46" s="73">
        <f t="shared" si="40"/>
        <v>0</v>
      </c>
      <c r="BY46" s="73">
        <f t="shared" si="40"/>
        <v>0</v>
      </c>
      <c r="BZ46" s="73">
        <f t="shared" si="40"/>
        <v>0</v>
      </c>
      <c r="CA46" s="73">
        <f t="shared" si="40"/>
        <v>0</v>
      </c>
      <c r="CB46" s="73">
        <f t="shared" si="40"/>
        <v>0</v>
      </c>
      <c r="CC46" s="73">
        <f t="shared" si="40"/>
        <v>0</v>
      </c>
      <c r="CD46" s="73">
        <f t="shared" si="40"/>
        <v>0</v>
      </c>
      <c r="CE46" s="73">
        <f t="shared" si="40"/>
        <v>0</v>
      </c>
    </row>
    <row r="47" s="29" customFormat="1" ht="13.4" outlineLevel="1" spans="2:83">
      <c r="B47" s="62">
        <v>36</v>
      </c>
      <c r="C47" s="62"/>
      <c r="D47" s="63"/>
      <c r="E47" s="63"/>
      <c r="F47" s="63"/>
      <c r="G47" s="64"/>
      <c r="H47" s="65"/>
      <c r="I47" s="66"/>
      <c r="J47" s="66">
        <f t="shared" si="4"/>
        <v>0</v>
      </c>
      <c r="K47" s="67"/>
      <c r="L47" s="67"/>
      <c r="M47" s="67"/>
      <c r="N47" s="67"/>
      <c r="O47" s="67"/>
      <c r="P47" s="68"/>
      <c r="Q47" s="68"/>
      <c r="R47" s="68"/>
      <c r="S47" s="68"/>
      <c r="T47" s="68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6">
        <f t="shared" si="5"/>
        <v>0</v>
      </c>
      <c r="AV47" s="73">
        <f t="shared" ref="AV47:CE47" si="41">$H47/K$9*K47</f>
        <v>0</v>
      </c>
      <c r="AW47" s="73">
        <f t="shared" si="41"/>
        <v>0</v>
      </c>
      <c r="AX47" s="73">
        <f t="shared" si="41"/>
        <v>0</v>
      </c>
      <c r="AY47" s="73">
        <f t="shared" si="41"/>
        <v>0</v>
      </c>
      <c r="AZ47" s="73">
        <f t="shared" si="41"/>
        <v>0</v>
      </c>
      <c r="BA47" s="73">
        <f t="shared" si="41"/>
        <v>0</v>
      </c>
      <c r="BB47" s="73">
        <f t="shared" si="41"/>
        <v>0</v>
      </c>
      <c r="BC47" s="73">
        <f t="shared" si="41"/>
        <v>0</v>
      </c>
      <c r="BD47" s="73">
        <f t="shared" si="41"/>
        <v>0</v>
      </c>
      <c r="BE47" s="73">
        <f t="shared" si="41"/>
        <v>0</v>
      </c>
      <c r="BF47" s="73">
        <f t="shared" si="41"/>
        <v>0</v>
      </c>
      <c r="BG47" s="73">
        <f t="shared" si="41"/>
        <v>0</v>
      </c>
      <c r="BH47" s="73">
        <f t="shared" si="41"/>
        <v>0</v>
      </c>
      <c r="BI47" s="73">
        <f t="shared" si="41"/>
        <v>0</v>
      </c>
      <c r="BJ47" s="73">
        <f t="shared" si="41"/>
        <v>0</v>
      </c>
      <c r="BK47" s="73">
        <f t="shared" si="41"/>
        <v>0</v>
      </c>
      <c r="BL47" s="73">
        <f t="shared" si="41"/>
        <v>0</v>
      </c>
      <c r="BM47" s="73">
        <f t="shared" si="41"/>
        <v>0</v>
      </c>
      <c r="BN47" s="73">
        <f t="shared" si="41"/>
        <v>0</v>
      </c>
      <c r="BO47" s="73">
        <f t="shared" si="41"/>
        <v>0</v>
      </c>
      <c r="BP47" s="73">
        <f t="shared" si="41"/>
        <v>0</v>
      </c>
      <c r="BQ47" s="73">
        <f t="shared" si="41"/>
        <v>0</v>
      </c>
      <c r="BR47" s="73">
        <f t="shared" si="41"/>
        <v>0</v>
      </c>
      <c r="BS47" s="73">
        <f t="shared" si="41"/>
        <v>0</v>
      </c>
      <c r="BT47" s="73">
        <f t="shared" si="41"/>
        <v>0</v>
      </c>
      <c r="BU47" s="73">
        <f t="shared" si="41"/>
        <v>0</v>
      </c>
      <c r="BV47" s="73">
        <f t="shared" si="41"/>
        <v>0</v>
      </c>
      <c r="BW47" s="73">
        <f t="shared" si="41"/>
        <v>0</v>
      </c>
      <c r="BX47" s="73">
        <f t="shared" si="41"/>
        <v>0</v>
      </c>
      <c r="BY47" s="73">
        <f t="shared" si="41"/>
        <v>0</v>
      </c>
      <c r="BZ47" s="73">
        <f t="shared" si="41"/>
        <v>0</v>
      </c>
      <c r="CA47" s="73">
        <f t="shared" si="41"/>
        <v>0</v>
      </c>
      <c r="CB47" s="73">
        <f t="shared" si="41"/>
        <v>0</v>
      </c>
      <c r="CC47" s="73">
        <f t="shared" si="41"/>
        <v>0</v>
      </c>
      <c r="CD47" s="73">
        <f t="shared" si="41"/>
        <v>0</v>
      </c>
      <c r="CE47" s="73">
        <f t="shared" si="41"/>
        <v>0</v>
      </c>
    </row>
    <row r="48" s="29" customFormat="1" ht="13.4" outlineLevel="1" spans="2:83">
      <c r="B48" s="62">
        <v>37</v>
      </c>
      <c r="C48" s="76"/>
      <c r="D48" s="63"/>
      <c r="E48" s="63"/>
      <c r="F48" s="63"/>
      <c r="G48" s="64"/>
      <c r="H48" s="65"/>
      <c r="I48" s="66"/>
      <c r="J48" s="66">
        <f t="shared" si="4"/>
        <v>0</v>
      </c>
      <c r="K48" s="67"/>
      <c r="L48" s="67"/>
      <c r="M48" s="67"/>
      <c r="N48" s="67"/>
      <c r="O48" s="67"/>
      <c r="P48" s="68"/>
      <c r="Q48" s="68"/>
      <c r="R48" s="68"/>
      <c r="S48" s="68"/>
      <c r="T48" s="68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6">
        <f t="shared" si="5"/>
        <v>0</v>
      </c>
      <c r="AV48" s="73">
        <f t="shared" ref="AV48:CE48" si="42">$H48/K$9*K48</f>
        <v>0</v>
      </c>
      <c r="AW48" s="73">
        <f t="shared" si="42"/>
        <v>0</v>
      </c>
      <c r="AX48" s="73">
        <f t="shared" si="42"/>
        <v>0</v>
      </c>
      <c r="AY48" s="73">
        <f t="shared" si="42"/>
        <v>0</v>
      </c>
      <c r="AZ48" s="73">
        <f t="shared" si="42"/>
        <v>0</v>
      </c>
      <c r="BA48" s="73">
        <f t="shared" si="42"/>
        <v>0</v>
      </c>
      <c r="BB48" s="73">
        <f t="shared" si="42"/>
        <v>0</v>
      </c>
      <c r="BC48" s="73">
        <f t="shared" si="42"/>
        <v>0</v>
      </c>
      <c r="BD48" s="73">
        <f t="shared" si="42"/>
        <v>0</v>
      </c>
      <c r="BE48" s="73">
        <f t="shared" si="42"/>
        <v>0</v>
      </c>
      <c r="BF48" s="73">
        <f t="shared" si="42"/>
        <v>0</v>
      </c>
      <c r="BG48" s="73">
        <f t="shared" si="42"/>
        <v>0</v>
      </c>
      <c r="BH48" s="73">
        <f t="shared" si="42"/>
        <v>0</v>
      </c>
      <c r="BI48" s="73">
        <f t="shared" si="42"/>
        <v>0</v>
      </c>
      <c r="BJ48" s="73">
        <f t="shared" si="42"/>
        <v>0</v>
      </c>
      <c r="BK48" s="73">
        <f t="shared" si="42"/>
        <v>0</v>
      </c>
      <c r="BL48" s="73">
        <f t="shared" si="42"/>
        <v>0</v>
      </c>
      <c r="BM48" s="73">
        <f t="shared" si="42"/>
        <v>0</v>
      </c>
      <c r="BN48" s="73">
        <f t="shared" si="42"/>
        <v>0</v>
      </c>
      <c r="BO48" s="73">
        <f t="shared" si="42"/>
        <v>0</v>
      </c>
      <c r="BP48" s="73">
        <f t="shared" si="42"/>
        <v>0</v>
      </c>
      <c r="BQ48" s="73">
        <f t="shared" si="42"/>
        <v>0</v>
      </c>
      <c r="BR48" s="73">
        <f t="shared" si="42"/>
        <v>0</v>
      </c>
      <c r="BS48" s="73">
        <f t="shared" si="42"/>
        <v>0</v>
      </c>
      <c r="BT48" s="73">
        <f t="shared" si="42"/>
        <v>0</v>
      </c>
      <c r="BU48" s="73">
        <f t="shared" si="42"/>
        <v>0</v>
      </c>
      <c r="BV48" s="73">
        <f t="shared" si="42"/>
        <v>0</v>
      </c>
      <c r="BW48" s="73">
        <f t="shared" si="42"/>
        <v>0</v>
      </c>
      <c r="BX48" s="73">
        <f t="shared" si="42"/>
        <v>0</v>
      </c>
      <c r="BY48" s="73">
        <f t="shared" si="42"/>
        <v>0</v>
      </c>
      <c r="BZ48" s="73">
        <f t="shared" si="42"/>
        <v>0</v>
      </c>
      <c r="CA48" s="73">
        <f t="shared" si="42"/>
        <v>0</v>
      </c>
      <c r="CB48" s="73">
        <f t="shared" si="42"/>
        <v>0</v>
      </c>
      <c r="CC48" s="73">
        <f t="shared" si="42"/>
        <v>0</v>
      </c>
      <c r="CD48" s="73">
        <f t="shared" si="42"/>
        <v>0</v>
      </c>
      <c r="CE48" s="73">
        <f t="shared" si="42"/>
        <v>0</v>
      </c>
    </row>
    <row r="49" s="29" customFormat="1" ht="13.4" outlineLevel="1" spans="2:83">
      <c r="B49" s="62">
        <v>38</v>
      </c>
      <c r="C49" s="62"/>
      <c r="D49" s="63"/>
      <c r="E49" s="63"/>
      <c r="F49" s="63"/>
      <c r="G49" s="64"/>
      <c r="H49" s="65"/>
      <c r="I49" s="66"/>
      <c r="J49" s="66">
        <f t="shared" si="4"/>
        <v>0</v>
      </c>
      <c r="K49" s="67"/>
      <c r="L49" s="67"/>
      <c r="M49" s="67"/>
      <c r="N49" s="67"/>
      <c r="O49" s="67"/>
      <c r="P49" s="68"/>
      <c r="Q49" s="68"/>
      <c r="R49" s="68"/>
      <c r="S49" s="68"/>
      <c r="T49" s="68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6">
        <f t="shared" si="5"/>
        <v>0</v>
      </c>
      <c r="AV49" s="73">
        <f t="shared" ref="AV49:CE49" si="43">$H49/K$9*K49</f>
        <v>0</v>
      </c>
      <c r="AW49" s="73">
        <f t="shared" si="43"/>
        <v>0</v>
      </c>
      <c r="AX49" s="73">
        <f t="shared" si="43"/>
        <v>0</v>
      </c>
      <c r="AY49" s="73">
        <f t="shared" si="43"/>
        <v>0</v>
      </c>
      <c r="AZ49" s="73">
        <f t="shared" si="43"/>
        <v>0</v>
      </c>
      <c r="BA49" s="73">
        <f t="shared" si="43"/>
        <v>0</v>
      </c>
      <c r="BB49" s="73">
        <f t="shared" si="43"/>
        <v>0</v>
      </c>
      <c r="BC49" s="73">
        <f t="shared" si="43"/>
        <v>0</v>
      </c>
      <c r="BD49" s="73">
        <f t="shared" si="43"/>
        <v>0</v>
      </c>
      <c r="BE49" s="73">
        <f t="shared" si="43"/>
        <v>0</v>
      </c>
      <c r="BF49" s="73">
        <f t="shared" si="43"/>
        <v>0</v>
      </c>
      <c r="BG49" s="73">
        <f t="shared" si="43"/>
        <v>0</v>
      </c>
      <c r="BH49" s="73">
        <f t="shared" si="43"/>
        <v>0</v>
      </c>
      <c r="BI49" s="73">
        <f t="shared" si="43"/>
        <v>0</v>
      </c>
      <c r="BJ49" s="73">
        <f t="shared" si="43"/>
        <v>0</v>
      </c>
      <c r="BK49" s="73">
        <f t="shared" si="43"/>
        <v>0</v>
      </c>
      <c r="BL49" s="73">
        <f t="shared" si="43"/>
        <v>0</v>
      </c>
      <c r="BM49" s="73">
        <f t="shared" si="43"/>
        <v>0</v>
      </c>
      <c r="BN49" s="73">
        <f t="shared" si="43"/>
        <v>0</v>
      </c>
      <c r="BO49" s="73">
        <f t="shared" si="43"/>
        <v>0</v>
      </c>
      <c r="BP49" s="73">
        <f t="shared" si="43"/>
        <v>0</v>
      </c>
      <c r="BQ49" s="73">
        <f t="shared" si="43"/>
        <v>0</v>
      </c>
      <c r="BR49" s="73">
        <f t="shared" si="43"/>
        <v>0</v>
      </c>
      <c r="BS49" s="73">
        <f t="shared" si="43"/>
        <v>0</v>
      </c>
      <c r="BT49" s="73">
        <f t="shared" si="43"/>
        <v>0</v>
      </c>
      <c r="BU49" s="73">
        <f t="shared" si="43"/>
        <v>0</v>
      </c>
      <c r="BV49" s="73">
        <f t="shared" si="43"/>
        <v>0</v>
      </c>
      <c r="BW49" s="73">
        <f t="shared" si="43"/>
        <v>0</v>
      </c>
      <c r="BX49" s="73">
        <f t="shared" si="43"/>
        <v>0</v>
      </c>
      <c r="BY49" s="73">
        <f t="shared" si="43"/>
        <v>0</v>
      </c>
      <c r="BZ49" s="73">
        <f t="shared" si="43"/>
        <v>0</v>
      </c>
      <c r="CA49" s="73">
        <f t="shared" si="43"/>
        <v>0</v>
      </c>
      <c r="CB49" s="73">
        <f t="shared" si="43"/>
        <v>0</v>
      </c>
      <c r="CC49" s="73">
        <f t="shared" si="43"/>
        <v>0</v>
      </c>
      <c r="CD49" s="73">
        <f t="shared" si="43"/>
        <v>0</v>
      </c>
      <c r="CE49" s="73">
        <f t="shared" si="43"/>
        <v>0</v>
      </c>
    </row>
    <row r="50" s="29" customFormat="1" ht="13.4" outlineLevel="1" spans="2:83">
      <c r="B50" s="62">
        <v>39</v>
      </c>
      <c r="C50" s="76"/>
      <c r="D50" s="63"/>
      <c r="E50" s="63"/>
      <c r="F50" s="63"/>
      <c r="G50" s="64"/>
      <c r="H50" s="65"/>
      <c r="I50" s="66"/>
      <c r="J50" s="66">
        <f t="shared" si="4"/>
        <v>0</v>
      </c>
      <c r="K50" s="67"/>
      <c r="L50" s="67"/>
      <c r="M50" s="67"/>
      <c r="N50" s="67"/>
      <c r="O50" s="67"/>
      <c r="P50" s="68"/>
      <c r="Q50" s="68"/>
      <c r="R50" s="68"/>
      <c r="S50" s="68"/>
      <c r="T50" s="68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6">
        <f t="shared" si="5"/>
        <v>0</v>
      </c>
      <c r="AV50" s="73">
        <f t="shared" ref="AV50:CE50" si="44">$H50/K$9*K50</f>
        <v>0</v>
      </c>
      <c r="AW50" s="73">
        <f t="shared" si="44"/>
        <v>0</v>
      </c>
      <c r="AX50" s="73">
        <f t="shared" si="44"/>
        <v>0</v>
      </c>
      <c r="AY50" s="73">
        <f t="shared" si="44"/>
        <v>0</v>
      </c>
      <c r="AZ50" s="73">
        <f t="shared" si="44"/>
        <v>0</v>
      </c>
      <c r="BA50" s="73">
        <f t="shared" si="44"/>
        <v>0</v>
      </c>
      <c r="BB50" s="73">
        <f t="shared" si="44"/>
        <v>0</v>
      </c>
      <c r="BC50" s="73">
        <f t="shared" si="44"/>
        <v>0</v>
      </c>
      <c r="BD50" s="73">
        <f t="shared" si="44"/>
        <v>0</v>
      </c>
      <c r="BE50" s="73">
        <f t="shared" si="44"/>
        <v>0</v>
      </c>
      <c r="BF50" s="73">
        <f t="shared" si="44"/>
        <v>0</v>
      </c>
      <c r="BG50" s="73">
        <f t="shared" si="44"/>
        <v>0</v>
      </c>
      <c r="BH50" s="73">
        <f t="shared" si="44"/>
        <v>0</v>
      </c>
      <c r="BI50" s="73">
        <f t="shared" si="44"/>
        <v>0</v>
      </c>
      <c r="BJ50" s="73">
        <f t="shared" si="44"/>
        <v>0</v>
      </c>
      <c r="BK50" s="73">
        <f t="shared" si="44"/>
        <v>0</v>
      </c>
      <c r="BL50" s="73">
        <f t="shared" si="44"/>
        <v>0</v>
      </c>
      <c r="BM50" s="73">
        <f t="shared" si="44"/>
        <v>0</v>
      </c>
      <c r="BN50" s="73">
        <f t="shared" si="44"/>
        <v>0</v>
      </c>
      <c r="BO50" s="73">
        <f t="shared" si="44"/>
        <v>0</v>
      </c>
      <c r="BP50" s="73">
        <f t="shared" si="44"/>
        <v>0</v>
      </c>
      <c r="BQ50" s="73">
        <f t="shared" si="44"/>
        <v>0</v>
      </c>
      <c r="BR50" s="73">
        <f t="shared" si="44"/>
        <v>0</v>
      </c>
      <c r="BS50" s="73">
        <f t="shared" si="44"/>
        <v>0</v>
      </c>
      <c r="BT50" s="73">
        <f t="shared" si="44"/>
        <v>0</v>
      </c>
      <c r="BU50" s="73">
        <f t="shared" si="44"/>
        <v>0</v>
      </c>
      <c r="BV50" s="73">
        <f t="shared" si="44"/>
        <v>0</v>
      </c>
      <c r="BW50" s="73">
        <f t="shared" si="44"/>
        <v>0</v>
      </c>
      <c r="BX50" s="73">
        <f t="shared" si="44"/>
        <v>0</v>
      </c>
      <c r="BY50" s="73">
        <f t="shared" si="44"/>
        <v>0</v>
      </c>
      <c r="BZ50" s="73">
        <f t="shared" si="44"/>
        <v>0</v>
      </c>
      <c r="CA50" s="73">
        <f t="shared" si="44"/>
        <v>0</v>
      </c>
      <c r="CB50" s="73">
        <f t="shared" si="44"/>
        <v>0</v>
      </c>
      <c r="CC50" s="73">
        <f t="shared" si="44"/>
        <v>0</v>
      </c>
      <c r="CD50" s="73">
        <f t="shared" si="44"/>
        <v>0</v>
      </c>
      <c r="CE50" s="73">
        <f t="shared" si="44"/>
        <v>0</v>
      </c>
    </row>
    <row r="51" s="29" customFormat="1" ht="13.4" outlineLevel="1" spans="2:83">
      <c r="B51" s="62">
        <v>40</v>
      </c>
      <c r="C51" s="62"/>
      <c r="D51" s="63"/>
      <c r="E51" s="63"/>
      <c r="F51" s="63"/>
      <c r="G51" s="64"/>
      <c r="H51" s="65"/>
      <c r="I51" s="66"/>
      <c r="J51" s="66">
        <f t="shared" si="4"/>
        <v>0</v>
      </c>
      <c r="K51" s="67"/>
      <c r="L51" s="67"/>
      <c r="M51" s="67"/>
      <c r="N51" s="67"/>
      <c r="O51" s="67"/>
      <c r="P51" s="68"/>
      <c r="Q51" s="68"/>
      <c r="R51" s="68"/>
      <c r="S51" s="68"/>
      <c r="T51" s="68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6">
        <f t="shared" si="5"/>
        <v>0</v>
      </c>
      <c r="AV51" s="73">
        <f t="shared" ref="AV51:CE51" si="45">$H51/K$9*K51</f>
        <v>0</v>
      </c>
      <c r="AW51" s="73">
        <f t="shared" si="45"/>
        <v>0</v>
      </c>
      <c r="AX51" s="73">
        <f t="shared" si="45"/>
        <v>0</v>
      </c>
      <c r="AY51" s="73">
        <f t="shared" si="45"/>
        <v>0</v>
      </c>
      <c r="AZ51" s="73">
        <f t="shared" si="45"/>
        <v>0</v>
      </c>
      <c r="BA51" s="73">
        <f t="shared" si="45"/>
        <v>0</v>
      </c>
      <c r="BB51" s="73">
        <f t="shared" si="45"/>
        <v>0</v>
      </c>
      <c r="BC51" s="73">
        <f t="shared" si="45"/>
        <v>0</v>
      </c>
      <c r="BD51" s="73">
        <f t="shared" si="45"/>
        <v>0</v>
      </c>
      <c r="BE51" s="73">
        <f t="shared" si="45"/>
        <v>0</v>
      </c>
      <c r="BF51" s="73">
        <f t="shared" si="45"/>
        <v>0</v>
      </c>
      <c r="BG51" s="73">
        <f t="shared" si="45"/>
        <v>0</v>
      </c>
      <c r="BH51" s="73">
        <f t="shared" si="45"/>
        <v>0</v>
      </c>
      <c r="BI51" s="73">
        <f t="shared" si="45"/>
        <v>0</v>
      </c>
      <c r="BJ51" s="73">
        <f t="shared" si="45"/>
        <v>0</v>
      </c>
      <c r="BK51" s="73">
        <f t="shared" si="45"/>
        <v>0</v>
      </c>
      <c r="BL51" s="73">
        <f t="shared" si="45"/>
        <v>0</v>
      </c>
      <c r="BM51" s="73">
        <f t="shared" si="45"/>
        <v>0</v>
      </c>
      <c r="BN51" s="73">
        <f t="shared" si="45"/>
        <v>0</v>
      </c>
      <c r="BO51" s="73">
        <f t="shared" si="45"/>
        <v>0</v>
      </c>
      <c r="BP51" s="73">
        <f t="shared" si="45"/>
        <v>0</v>
      </c>
      <c r="BQ51" s="73">
        <f t="shared" si="45"/>
        <v>0</v>
      </c>
      <c r="BR51" s="73">
        <f t="shared" si="45"/>
        <v>0</v>
      </c>
      <c r="BS51" s="73">
        <f t="shared" si="45"/>
        <v>0</v>
      </c>
      <c r="BT51" s="73">
        <f t="shared" si="45"/>
        <v>0</v>
      </c>
      <c r="BU51" s="73">
        <f t="shared" si="45"/>
        <v>0</v>
      </c>
      <c r="BV51" s="73">
        <f t="shared" si="45"/>
        <v>0</v>
      </c>
      <c r="BW51" s="73">
        <f t="shared" si="45"/>
        <v>0</v>
      </c>
      <c r="BX51" s="73">
        <f t="shared" si="45"/>
        <v>0</v>
      </c>
      <c r="BY51" s="73">
        <f t="shared" si="45"/>
        <v>0</v>
      </c>
      <c r="BZ51" s="73">
        <f t="shared" si="45"/>
        <v>0</v>
      </c>
      <c r="CA51" s="73">
        <f t="shared" si="45"/>
        <v>0</v>
      </c>
      <c r="CB51" s="73">
        <f t="shared" si="45"/>
        <v>0</v>
      </c>
      <c r="CC51" s="73">
        <f t="shared" si="45"/>
        <v>0</v>
      </c>
      <c r="CD51" s="73">
        <f t="shared" si="45"/>
        <v>0</v>
      </c>
      <c r="CE51" s="73">
        <f t="shared" si="45"/>
        <v>0</v>
      </c>
    </row>
    <row r="52" s="27" customFormat="1" ht="13.4" spans="2:83"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S52" s="36"/>
    </row>
    <row r="53" s="27" customFormat="1" ht="13.4" spans="2:83">
      <c r="B53" s="34" t="s">
        <v>115</v>
      </c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T53" s="36"/>
    </row>
    <row r="54" s="27" customFormat="1" ht="13.4" spans="2:83">
      <c r="C54" s="37" t="s">
        <v>116</v>
      </c>
      <c r="D54" s="79">
        <f>D3/20.67</f>
        <v>0.0483792936623125</v>
      </c>
      <c r="U54" s="80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U54" s="36"/>
    </row>
    <row r="55" s="27" customFormat="1" ht="13.4" spans="2:83">
      <c r="C55" s="37" t="s">
        <v>117</v>
      </c>
      <c r="D55" s="39">
        <f>D62+D63+D64</f>
        <v>0</v>
      </c>
      <c r="U55" s="78"/>
      <c r="V55" s="78"/>
      <c r="W55" s="78"/>
      <c r="X55" s="78"/>
      <c r="Y55" s="78"/>
      <c r="Z55" s="78"/>
      <c r="AU55" s="36"/>
    </row>
    <row r="56" s="27" customFormat="1" ht="13.4" spans="2:83">
      <c r="C56" s="37" t="s">
        <v>118</v>
      </c>
      <c r="D56" s="39">
        <f>D55/D54</f>
        <v>0</v>
      </c>
      <c r="V56" s="33"/>
      <c r="W56" s="33"/>
      <c r="AU56" s="36"/>
    </row>
    <row r="57" s="31" customFormat="1" ht="10.35"/>
    <row r="58" s="31" customFormat="1" ht="13.4" outlineLevel="1" spans="2:83">
      <c r="C58" s="27"/>
      <c r="D58" s="27"/>
      <c r="E58" s="43">
        <v>2025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5"/>
      <c r="Q58" s="46">
        <v>2026</v>
      </c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3">
        <v>2027</v>
      </c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5"/>
    </row>
    <row r="59" s="31" customFormat="1" ht="13.4" outlineLevel="1" spans="2:83">
      <c r="C59" s="27"/>
      <c r="D59" s="48" t="s">
        <v>105</v>
      </c>
      <c r="E59" s="49">
        <v>19</v>
      </c>
      <c r="F59" s="49">
        <v>19</v>
      </c>
      <c r="G59" s="49">
        <v>21</v>
      </c>
      <c r="H59" s="49">
        <v>22</v>
      </c>
      <c r="I59" s="49">
        <v>19</v>
      </c>
      <c r="J59" s="49">
        <v>20</v>
      </c>
      <c r="K59" s="49">
        <v>23</v>
      </c>
      <c r="L59" s="50">
        <v>21</v>
      </c>
      <c r="M59" s="50">
        <v>23</v>
      </c>
      <c r="N59" s="50">
        <v>18</v>
      </c>
      <c r="O59" s="50">
        <v>20</v>
      </c>
      <c r="P59" s="50">
        <v>23</v>
      </c>
      <c r="Q59" s="50">
        <f t="shared" ref="Q59:AN59" si="46">W9</f>
        <v>19</v>
      </c>
      <c r="R59" s="50">
        <f t="shared" si="46"/>
        <v>19</v>
      </c>
      <c r="S59" s="50">
        <f t="shared" si="46"/>
        <v>21</v>
      </c>
      <c r="T59" s="50">
        <f t="shared" si="46"/>
        <v>22</v>
      </c>
      <c r="U59" s="50">
        <f t="shared" si="46"/>
        <v>19</v>
      </c>
      <c r="V59" s="50">
        <f t="shared" si="46"/>
        <v>20</v>
      </c>
      <c r="W59" s="50">
        <f t="shared" si="46"/>
        <v>23</v>
      </c>
      <c r="X59" s="50">
        <f t="shared" si="46"/>
        <v>21</v>
      </c>
      <c r="Y59" s="50">
        <f t="shared" si="46"/>
        <v>23</v>
      </c>
      <c r="Z59" s="50">
        <f t="shared" si="46"/>
        <v>18</v>
      </c>
      <c r="AA59" s="50">
        <f t="shared" si="46"/>
        <v>20</v>
      </c>
      <c r="AB59" s="50">
        <f t="shared" si="46"/>
        <v>23</v>
      </c>
      <c r="AC59" s="50">
        <f t="shared" si="46"/>
        <v>19</v>
      </c>
      <c r="AD59" s="50">
        <f t="shared" si="46"/>
        <v>19</v>
      </c>
      <c r="AE59" s="50">
        <f t="shared" si="46"/>
        <v>21</v>
      </c>
      <c r="AF59" s="50">
        <f t="shared" si="46"/>
        <v>22</v>
      </c>
      <c r="AG59" s="50">
        <f t="shared" si="46"/>
        <v>19</v>
      </c>
      <c r="AH59" s="50">
        <f t="shared" si="46"/>
        <v>20</v>
      </c>
      <c r="AI59" s="50">
        <f t="shared" si="46"/>
        <v>23</v>
      </c>
      <c r="AJ59" s="50">
        <f t="shared" si="46"/>
        <v>21</v>
      </c>
      <c r="AK59" s="50">
        <f t="shared" si="46"/>
        <v>23</v>
      </c>
      <c r="AL59" s="50">
        <f t="shared" si="46"/>
        <v>18</v>
      </c>
      <c r="AM59" s="50">
        <f t="shared" si="46"/>
        <v>20</v>
      </c>
      <c r="AN59" s="50">
        <f t="shared" si="46"/>
        <v>23</v>
      </c>
    </row>
    <row r="60" s="31" customFormat="1" ht="13.4" outlineLevel="1" spans="2:83">
      <c r="C60" s="53"/>
      <c r="D60" s="53"/>
      <c r="E60" s="55">
        <f>K10</f>
        <v>1</v>
      </c>
      <c r="F60" s="55">
        <f t="shared" ref="F60:I60" si="47">IF(E60=12,1,E60+1)</f>
        <v>2</v>
      </c>
      <c r="G60" s="55">
        <f t="shared" si="47"/>
        <v>3</v>
      </c>
      <c r="H60" s="55">
        <f t="shared" si="47"/>
        <v>4</v>
      </c>
      <c r="I60" s="55">
        <f t="shared" si="47"/>
        <v>5</v>
      </c>
      <c r="J60" s="55">
        <f t="shared" ref="J60:AN60" si="48">IF(I60=12,1,I60+1)</f>
        <v>6</v>
      </c>
      <c r="K60" s="55">
        <f t="shared" si="48"/>
        <v>7</v>
      </c>
      <c r="L60" s="55">
        <f t="shared" si="48"/>
        <v>8</v>
      </c>
      <c r="M60" s="55">
        <f t="shared" si="48"/>
        <v>9</v>
      </c>
      <c r="N60" s="55">
        <f t="shared" si="48"/>
        <v>10</v>
      </c>
      <c r="O60" s="55">
        <f t="shared" si="48"/>
        <v>11</v>
      </c>
      <c r="P60" s="55">
        <f t="shared" si="48"/>
        <v>12</v>
      </c>
      <c r="Q60" s="55">
        <f t="shared" si="48"/>
        <v>1</v>
      </c>
      <c r="R60" s="55">
        <f t="shared" si="48"/>
        <v>2</v>
      </c>
      <c r="S60" s="55">
        <f t="shared" si="48"/>
        <v>3</v>
      </c>
      <c r="T60" s="55">
        <f t="shared" si="48"/>
        <v>4</v>
      </c>
      <c r="U60" s="55">
        <f t="shared" si="48"/>
        <v>5</v>
      </c>
      <c r="V60" s="55">
        <f t="shared" si="48"/>
        <v>6</v>
      </c>
      <c r="W60" s="55">
        <f t="shared" si="48"/>
        <v>7</v>
      </c>
      <c r="X60" s="55">
        <f t="shared" si="48"/>
        <v>8</v>
      </c>
      <c r="Y60" s="55">
        <f t="shared" si="48"/>
        <v>9</v>
      </c>
      <c r="Z60" s="55">
        <f t="shared" si="48"/>
        <v>10</v>
      </c>
      <c r="AA60" s="55">
        <f t="shared" si="48"/>
        <v>11</v>
      </c>
      <c r="AB60" s="55">
        <f t="shared" si="48"/>
        <v>12</v>
      </c>
      <c r="AC60" s="55">
        <f t="shared" si="48"/>
        <v>1</v>
      </c>
      <c r="AD60" s="55">
        <f t="shared" si="48"/>
        <v>2</v>
      </c>
      <c r="AE60" s="55">
        <f t="shared" si="48"/>
        <v>3</v>
      </c>
      <c r="AF60" s="55">
        <f t="shared" si="48"/>
        <v>4</v>
      </c>
      <c r="AG60" s="55">
        <f t="shared" si="48"/>
        <v>5</v>
      </c>
      <c r="AH60" s="55">
        <f t="shared" si="48"/>
        <v>6</v>
      </c>
      <c r="AI60" s="55">
        <f t="shared" si="48"/>
        <v>7</v>
      </c>
      <c r="AJ60" s="55">
        <f t="shared" si="48"/>
        <v>8</v>
      </c>
      <c r="AK60" s="55">
        <f t="shared" si="48"/>
        <v>9</v>
      </c>
      <c r="AL60" s="55">
        <f t="shared" si="48"/>
        <v>10</v>
      </c>
      <c r="AM60" s="55">
        <f t="shared" si="48"/>
        <v>11</v>
      </c>
      <c r="AN60" s="55">
        <f t="shared" si="48"/>
        <v>12</v>
      </c>
    </row>
    <row r="61" s="31" customFormat="1" ht="13.4" outlineLevel="1" spans="2:83">
      <c r="C61" s="82" t="s">
        <v>119</v>
      </c>
      <c r="D61" s="82" t="s">
        <v>120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57"/>
      <c r="S61" s="57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</row>
    <row r="62" s="31" customFormat="1" ht="13.4" outlineLevel="1" spans="2:83">
      <c r="C62" s="65" t="s">
        <v>121</v>
      </c>
      <c r="D62" s="65">
        <f>SUM(E62:AN62)</f>
        <v>0</v>
      </c>
      <c r="E62" s="83"/>
      <c r="F62" s="67"/>
      <c r="G62" s="67"/>
      <c r="H62" s="67"/>
      <c r="I62" s="67"/>
      <c r="J62" s="68"/>
      <c r="K62" s="68"/>
      <c r="L62" s="68"/>
      <c r="M62" s="67"/>
      <c r="N62" s="63"/>
      <c r="O62" s="69"/>
      <c r="P62" s="70"/>
      <c r="Q62" s="70"/>
      <c r="R62" s="71"/>
      <c r="S62" s="72"/>
      <c r="T62" s="72"/>
      <c r="U62" s="72"/>
      <c r="V62" s="72"/>
      <c r="W62" s="72"/>
      <c r="X62" s="72"/>
      <c r="Y62" s="72"/>
      <c r="Z62" s="72"/>
      <c r="AA62" s="72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</row>
    <row r="63" s="31" customFormat="1" ht="13.4" outlineLevel="1" spans="2:83">
      <c r="C63" s="65" t="s">
        <v>122</v>
      </c>
      <c r="D63" s="65">
        <f>SUM(E63:AN63)</f>
        <v>0</v>
      </c>
      <c r="E63" s="67"/>
      <c r="F63" s="67"/>
      <c r="G63" s="67"/>
      <c r="H63" s="67"/>
      <c r="I63" s="67"/>
      <c r="J63" s="68"/>
      <c r="K63" s="68"/>
      <c r="L63" s="68"/>
      <c r="M63" s="67"/>
      <c r="N63" s="63"/>
      <c r="O63" s="69"/>
      <c r="P63" s="72"/>
      <c r="Q63" s="72"/>
      <c r="R63" s="71"/>
      <c r="S63" s="70"/>
      <c r="T63" s="72"/>
      <c r="U63" s="72"/>
      <c r="V63" s="72"/>
      <c r="W63" s="72"/>
      <c r="X63" s="72"/>
      <c r="Y63" s="72"/>
      <c r="Z63" s="72"/>
      <c r="AA63" s="72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</row>
    <row r="64" s="31" customFormat="1" ht="13.4" outlineLevel="1" spans="2:83">
      <c r="C64" s="65" t="s">
        <v>123</v>
      </c>
      <c r="D64" s="65">
        <f>SUM(E64:AN64)</f>
        <v>0</v>
      </c>
      <c r="E64" s="67"/>
      <c r="F64" s="67"/>
      <c r="G64" s="67"/>
      <c r="H64" s="67"/>
      <c r="I64" s="67"/>
      <c r="J64" s="68"/>
      <c r="K64" s="68"/>
      <c r="L64" s="74"/>
      <c r="M64" s="67"/>
      <c r="N64" s="63"/>
      <c r="O64" s="69"/>
      <c r="P64" s="72"/>
      <c r="Q64" s="72"/>
      <c r="R64" s="71"/>
      <c r="S64" s="70"/>
      <c r="T64" s="75"/>
      <c r="U64" s="75"/>
      <c r="V64" s="72"/>
      <c r="W64" s="72"/>
      <c r="X64" s="72"/>
      <c r="Y64" s="72"/>
      <c r="Z64" s="72"/>
      <c r="AA64" s="72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</row>
    <row r="65" s="31" customFormat="1" ht="13.4" outlineLevel="1" spans="3:40">
      <c r="C65" s="84" t="s">
        <v>120</v>
      </c>
      <c r="D65" s="85">
        <f t="shared" ref="D65:H65" si="49">SUM(D62:D64)</f>
        <v>0</v>
      </c>
      <c r="E65" s="85">
        <f t="shared" si="49"/>
        <v>0</v>
      </c>
      <c r="F65" s="85">
        <f t="shared" si="49"/>
        <v>0</v>
      </c>
      <c r="G65" s="85">
        <f t="shared" si="49"/>
        <v>0</v>
      </c>
      <c r="H65" s="85">
        <f t="shared" si="49"/>
        <v>0</v>
      </c>
      <c r="I65" s="85">
        <f t="shared" ref="I65:AN65" si="50">SUM(I62:I64)</f>
        <v>0</v>
      </c>
      <c r="J65" s="85">
        <f t="shared" si="50"/>
        <v>0</v>
      </c>
      <c r="K65" s="85">
        <f t="shared" si="50"/>
        <v>0</v>
      </c>
      <c r="L65" s="85">
        <f t="shared" si="50"/>
        <v>0</v>
      </c>
      <c r="M65" s="85">
        <f t="shared" si="50"/>
        <v>0</v>
      </c>
      <c r="N65" s="85">
        <f t="shared" si="50"/>
        <v>0</v>
      </c>
      <c r="O65" s="85">
        <f t="shared" si="50"/>
        <v>0</v>
      </c>
      <c r="P65" s="85">
        <f t="shared" si="50"/>
        <v>0</v>
      </c>
      <c r="Q65" s="85">
        <f t="shared" si="50"/>
        <v>0</v>
      </c>
      <c r="R65" s="85">
        <f t="shared" si="50"/>
        <v>0</v>
      </c>
      <c r="S65" s="85">
        <f t="shared" si="50"/>
        <v>0</v>
      </c>
      <c r="T65" s="85">
        <f t="shared" si="50"/>
        <v>0</v>
      </c>
      <c r="U65" s="85">
        <f t="shared" si="50"/>
        <v>0</v>
      </c>
      <c r="V65" s="85">
        <f t="shared" si="50"/>
        <v>0</v>
      </c>
      <c r="W65" s="85">
        <f t="shared" si="50"/>
        <v>0</v>
      </c>
      <c r="X65" s="85">
        <f t="shared" si="50"/>
        <v>0</v>
      </c>
      <c r="Y65" s="85">
        <f t="shared" si="50"/>
        <v>0</v>
      </c>
      <c r="Z65" s="85">
        <f t="shared" si="50"/>
        <v>0</v>
      </c>
      <c r="AA65" s="85">
        <f t="shared" si="50"/>
        <v>0</v>
      </c>
      <c r="AB65" s="85">
        <f t="shared" si="50"/>
        <v>0</v>
      </c>
      <c r="AC65" s="85">
        <f t="shared" si="50"/>
        <v>0</v>
      </c>
      <c r="AD65" s="85">
        <f t="shared" si="50"/>
        <v>0</v>
      </c>
      <c r="AE65" s="85">
        <f t="shared" si="50"/>
        <v>0</v>
      </c>
      <c r="AF65" s="85">
        <f t="shared" si="50"/>
        <v>0</v>
      </c>
      <c r="AG65" s="85">
        <f t="shared" si="50"/>
        <v>0</v>
      </c>
      <c r="AH65" s="85">
        <f t="shared" si="50"/>
        <v>0</v>
      </c>
      <c r="AI65" s="85">
        <f t="shared" si="50"/>
        <v>0</v>
      </c>
      <c r="AJ65" s="85">
        <f t="shared" si="50"/>
        <v>0</v>
      </c>
      <c r="AK65" s="85">
        <f t="shared" si="50"/>
        <v>0</v>
      </c>
      <c r="AL65" s="85">
        <f t="shared" si="50"/>
        <v>0</v>
      </c>
      <c r="AM65" s="85">
        <f t="shared" si="50"/>
        <v>0</v>
      </c>
      <c r="AN65" s="85">
        <f t="shared" si="50"/>
        <v>0</v>
      </c>
    </row>
  </sheetData>
  <mergeCells count="9">
    <mergeCell ref="K8:V8"/>
    <mergeCell ref="W8:AH8"/>
    <mergeCell ref="AI8:AT8"/>
    <mergeCell ref="AV8:BG8"/>
    <mergeCell ref="BH8:BS8"/>
    <mergeCell ref="BT8:CE8"/>
    <mergeCell ref="E58:P58"/>
    <mergeCell ref="Q58:AB58"/>
    <mergeCell ref="AC58:AN58"/>
  </mergeCells>
  <conditionalFormatting sqref="B1:C1">
    <cfRule type="cellIs" dxfId="0" priority="1" stopIfTrue="1" operator="equal">
      <formula>"Select..."</formula>
    </cfRule>
  </conditionalFormatting>
  <conditionalFormatting sqref="V12:W12">
    <cfRule type="cellIs" dxfId="0" priority="13" stopIfTrue="1" operator="equal">
      <formula>"Select..."</formula>
    </cfRule>
  </conditionalFormatting>
  <conditionalFormatting sqref="P62:Q62">
    <cfRule type="cellIs" dxfId="0" priority="8" stopIfTrue="1" operator="equal">
      <formula>"Select..."</formula>
    </cfRule>
  </conditionalFormatting>
  <conditionalFormatting sqref="S63:S64">
    <cfRule type="cellIs" dxfId="0" priority="7" stopIfTrue="1" operator="equal">
      <formula>"Select..."</formula>
    </cfRule>
  </conditionalFormatting>
  <conditionalFormatting sqref="T12:T19">
    <cfRule type="cellIs" dxfId="0" priority="11" stopIfTrue="1" operator="equal">
      <formula>"Select..."</formula>
    </cfRule>
  </conditionalFormatting>
  <conditionalFormatting sqref="Y13:Y18">
    <cfRule type="cellIs" dxfId="0" priority="12" stopIfTrue="1" operator="equal">
      <formula>"Select..."</formula>
    </cfRule>
  </conditionalFormatting>
  <conditionalFormatting sqref="D3:D5 D54:D56">
    <cfRule type="cellIs" dxfId="0" priority="16" stopIfTrue="1" operator="equal">
      <formula>"Select..."</formula>
    </cfRule>
  </conditionalFormatting>
  <conditionalFormatting sqref="D12:G51">
    <cfRule type="cellIs" dxfId="0" priority="4" stopIfTrue="1" operator="equal">
      <formula>"Select..."</formula>
    </cfRule>
  </conditionalFormatting>
  <conditionalFormatting sqref="I12:O51">
    <cfRule type="cellIs" dxfId="0" priority="3" stopIfTrue="1" operator="equal">
      <formula>"Select..."</formula>
    </cfRule>
  </conditionalFormatting>
  <conditionalFormatting sqref="S12:S17 U12:U17">
    <cfRule type="cellIs" dxfId="0" priority="15" stopIfTrue="1" operator="equal">
      <formula>"Select..."</formula>
    </cfRule>
  </conditionalFormatting>
  <conditionalFormatting sqref="AU12:CE51">
    <cfRule type="cellIs" dxfId="0" priority="5" stopIfTrue="1" operator="equal">
      <formula>"Select..."</formula>
    </cfRule>
  </conditionalFormatting>
  <conditionalFormatting sqref="E62:I64">
    <cfRule type="cellIs" dxfId="0" priority="9" stopIfTrue="1" operator="equal">
      <formula>"Select..."</formula>
    </cfRule>
  </conditionalFormatting>
  <conditionalFormatting sqref="M62:O64">
    <cfRule type="cellIs" dxfId="0" priority="6" stopIfTrue="1" operator="equal">
      <formula>"Select..."</formula>
    </cfRule>
  </conditionalFormatting>
  <dataValidations count="1">
    <dataValidation type="list" allowBlank="1" showInputMessage="1" showErrorMessage="1" errorTitle="不允许" error="不在指定范围内" sqref="D12">
      <formula1>dtm1_14125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G10"/>
  <sheetViews>
    <sheetView workbookViewId="0">
      <selection activeCell="F10" sqref="F10"/>
    </sheetView>
  </sheetViews>
  <sheetFormatPr defaultColWidth="8.62727272727273" defaultRowHeight="14" outlineLevelCol="6"/>
  <cols>
    <col min="2" max="2" width="17.8727272727273" customWidth="1"/>
    <col min="3" max="3" width="12.7545454545455" customWidth="1"/>
    <col min="5" max="5" width="19.6272727272727" customWidth="1"/>
    <col min="6" max="6" width="12.7545454545455" customWidth="1"/>
    <col min="7" max="7" width="17.5" customWidth="1"/>
  </cols>
  <sheetData>
    <row r="3" spans="1:7">
      <c r="B3" s="21" t="s">
        <v>32</v>
      </c>
      <c r="C3" s="22" t="s">
        <v>124</v>
      </c>
      <c r="D3" s="22" t="s">
        <v>125</v>
      </c>
      <c r="E3" s="22" t="s">
        <v>126</v>
      </c>
      <c r="F3" s="22" t="s">
        <v>127</v>
      </c>
      <c r="G3" s="22" t="s">
        <v>128</v>
      </c>
    </row>
    <row r="4" spans="1:7">
      <c r="A4" s="23" t="s">
        <v>129</v>
      </c>
      <c r="B4" s="24">
        <v>1000</v>
      </c>
      <c r="C4" s="25">
        <v>0.06</v>
      </c>
      <c r="D4" s="25">
        <v>0.1</v>
      </c>
      <c r="E4" s="26">
        <f>B4*(1-D4)</f>
        <v>900</v>
      </c>
      <c r="F4" s="25">
        <v>0.03</v>
      </c>
      <c r="G4" s="26">
        <f>E4/(1+C4)*(1+F4)</f>
        <v>874.528301886792</v>
      </c>
    </row>
    <row r="5" spans="1:7">
      <c r="B5" s="24"/>
      <c r="C5" s="25"/>
      <c r="D5" s="25"/>
      <c r="E5" s="26">
        <f t="shared" ref="E5:E10" si="0">B5*(1-D5)</f>
        <v>0</v>
      </c>
      <c r="F5" s="25"/>
      <c r="G5" s="26">
        <f t="shared" ref="G5:G10" si="1">E5/(1+C5)*(1+F5)</f>
        <v>0</v>
      </c>
    </row>
    <row r="6" spans="1:7">
      <c r="B6" s="24"/>
      <c r="C6" s="25"/>
      <c r="D6" s="25"/>
      <c r="E6" s="26">
        <f t="shared" si="0"/>
        <v>0</v>
      </c>
      <c r="F6" s="25"/>
      <c r="G6" s="26">
        <f t="shared" si="1"/>
        <v>0</v>
      </c>
    </row>
    <row r="7" spans="1:7">
      <c r="B7" s="24"/>
      <c r="C7" s="25"/>
      <c r="D7" s="25"/>
      <c r="E7" s="26">
        <f t="shared" si="0"/>
        <v>0</v>
      </c>
      <c r="F7" s="25"/>
      <c r="G7" s="26">
        <f t="shared" si="1"/>
        <v>0</v>
      </c>
    </row>
    <row r="8" spans="1:7">
      <c r="B8" s="24"/>
      <c r="C8" s="25"/>
      <c r="D8" s="25"/>
      <c r="E8" s="26">
        <f t="shared" si="0"/>
        <v>0</v>
      </c>
      <c r="F8" s="25"/>
      <c r="G8" s="26">
        <f t="shared" si="1"/>
        <v>0</v>
      </c>
    </row>
    <row r="9" spans="1:7">
      <c r="B9" s="24"/>
      <c r="C9" s="25"/>
      <c r="D9" s="25"/>
      <c r="E9" s="26">
        <f t="shared" si="0"/>
        <v>0</v>
      </c>
      <c r="F9" s="25"/>
      <c r="G9" s="26">
        <f t="shared" si="1"/>
        <v>0</v>
      </c>
    </row>
    <row r="10" spans="1:7">
      <c r="B10" s="24"/>
      <c r="C10" s="25"/>
      <c r="D10" s="25"/>
      <c r="E10" s="26">
        <f t="shared" si="0"/>
        <v>0</v>
      </c>
      <c r="F10" s="25"/>
      <c r="G10" s="26">
        <f t="shared" si="1"/>
        <v>0</v>
      </c>
    </row>
  </sheetData>
  <sheetProtection algorithmName="SHA-512" hashValue="xCNSwUDNwyvmrH7S/9N0QluxiYRoIIfjr76l/fxfUIHfiyGHxoVCJv7nBxq9MxdMm2YuXiFmsjnqE4qK41Zrlg==" saltValue="CMAPpxtlGTZKNcd0UuAEnw==" spinCount="100000" sheet="1" objects="1"/>
  <protectedRanges>
    <protectedRange sqref="F4:F10" name="区域1"/>
  </protectedRange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K44"/>
  <sheetViews>
    <sheetView topLeftCell="A31" workbookViewId="0">
      <selection activeCell="A1" sqref="$A1:$XFD1048576"/>
    </sheetView>
  </sheetViews>
  <sheetFormatPr defaultColWidth="8.87272727272727" defaultRowHeight="14"/>
  <cols>
    <col min="1" max="1" width="8.87272727272727" style="1"/>
    <col min="2" max="2" width="9.87272727272727" style="1" customWidth="1"/>
    <col min="3" max="4" width="4.87272727272727" style="1" customWidth="1"/>
    <col min="5" max="5" width="8.25454545454545" style="1" customWidth="1"/>
    <col min="6" max="6" width="5.37272727272727" style="1" customWidth="1"/>
    <col min="7" max="7" width="6.12727272727273" style="1" customWidth="1"/>
    <col min="8" max="9" width="8.25454545454545" style="1" customWidth="1"/>
    <col min="10" max="11" width="11.6272727272727" style="1" customWidth="1"/>
    <col min="12" max="12" width="8.25454545454545" style="1" customWidth="1" outlineLevel="1"/>
    <col min="13" max="16" width="8.87272727272727" style="1" customWidth="1" outlineLevel="1"/>
    <col min="17" max="17" width="8.25454545454545" customWidth="1" outlineLevel="1"/>
    <col min="18" max="21" width="8.87272727272727" customWidth="1" outlineLevel="1"/>
    <col min="22" max="22" width="8.25454545454545" customWidth="1" outlineLevel="1"/>
    <col min="23" max="26" width="8.87272727272727" customWidth="1" outlineLevel="1"/>
    <col min="27" max="27" width="8.25454545454545" customWidth="1" outlineLevel="1"/>
    <col min="28" max="31" width="8.87272727272727" customWidth="1" outlineLevel="1"/>
    <col min="32" max="32" width="8.25454545454545" customWidth="1" outlineLevel="1"/>
    <col min="33" max="36" width="8.87272727272727" customWidth="1" outlineLevel="1"/>
    <col min="37" max="37" width="8.25454545454545" customWidth="1" outlineLevel="1"/>
    <col min="38" max="41" width="8.87272727272727" customWidth="1" outlineLevel="1"/>
    <col min="42" max="42" width="8.25454545454545" customWidth="1" outlineLevel="1"/>
    <col min="43" max="46" width="8.87272727272727" customWidth="1" outlineLevel="1"/>
    <col min="47" max="47" width="8.25454545454545" customWidth="1" outlineLevel="1"/>
    <col min="48" max="51" width="8.87272727272727" customWidth="1" outlineLevel="1"/>
    <col min="52" max="52" width="8.25454545454545" customWidth="1" outlineLevel="1"/>
    <col min="53" max="56" width="8.87272727272727" customWidth="1" outlineLevel="1"/>
    <col min="57" max="57" width="8.25454545454545" customWidth="1" outlineLevel="1"/>
    <col min="58" max="61" width="8.87272727272727" customWidth="1" outlineLevel="1"/>
    <col min="62" max="62" width="8.25454545454545" customWidth="1" outlineLevel="1"/>
    <col min="63" max="66" width="8.87272727272727" customWidth="1" outlineLevel="1"/>
    <col min="67" max="67" width="8.25454545454545" customWidth="1" outlineLevel="1"/>
    <col min="68" max="71" width="8.87272727272727" customWidth="1" outlineLevel="1"/>
    <col min="72" max="72" width="8.87272727272727" customWidth="1"/>
    <col min="73" max="73" width="8.25454545454545" hidden="1" customWidth="1" outlineLevel="1"/>
    <col min="74" max="77" width="8.87272727272727" hidden="1" customWidth="1" outlineLevel="1"/>
    <col min="78" max="78" width="8.25454545454545" hidden="1" customWidth="1" outlineLevel="1"/>
    <col min="79" max="82" width="8.87272727272727" hidden="1" customWidth="1" outlineLevel="1"/>
    <col min="83" max="83" width="8.25454545454545" hidden="1" customWidth="1" outlineLevel="1"/>
    <col min="84" max="87" width="8.87272727272727" hidden="1" customWidth="1" outlineLevel="1"/>
    <col min="88" max="88" width="8.25454545454545" hidden="1" customWidth="1" outlineLevel="1"/>
    <col min="89" max="92" width="8.87272727272727" hidden="1" customWidth="1" outlineLevel="1"/>
    <col min="93" max="93" width="8.25454545454545" hidden="1" customWidth="1" outlineLevel="1"/>
    <col min="94" max="97" width="8.87272727272727" hidden="1" customWidth="1" outlineLevel="1"/>
    <col min="98" max="132" width="8.87272727272727" style="1" hidden="1" customWidth="1" outlineLevel="1"/>
    <col min="133" max="133" width="8.87272727272727" style="1" customWidth="1" collapsed="1"/>
    <col min="134" max="193" width="9" style="1" hidden="1" customWidth="1" outlineLevel="1"/>
    <col min="194" max="194" width="8.87272727272727" style="1" collapsed="1"/>
    <col min="195" max="16384" width="8.87272727272727" style="1"/>
  </cols>
  <sheetData>
    <row r="1" spans="1:193">
      <c r="L1" s="2" t="s">
        <v>130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1"/>
      <c r="BU1" s="3" t="s">
        <v>131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2" t="s">
        <v>132</v>
      </c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</row>
    <row r="2" ht="14.75" spans="1:193">
      <c r="A2" s="4"/>
      <c r="B2" s="4"/>
      <c r="C2" s="4"/>
      <c r="D2" s="4"/>
      <c r="E2" s="4"/>
      <c r="F2" s="4"/>
      <c r="G2" s="4"/>
      <c r="H2" s="5" t="s">
        <v>133</v>
      </c>
      <c r="I2" s="5"/>
      <c r="J2" s="5"/>
      <c r="K2" s="5"/>
      <c r="L2" s="6" t="s">
        <v>134</v>
      </c>
      <c r="M2" s="6"/>
      <c r="N2" s="6"/>
      <c r="O2" s="6"/>
      <c r="P2" s="6"/>
      <c r="Q2" s="6" t="s">
        <v>135</v>
      </c>
      <c r="R2" s="6"/>
      <c r="S2" s="6"/>
      <c r="T2" s="6"/>
      <c r="U2" s="6"/>
      <c r="V2" s="6" t="s">
        <v>136</v>
      </c>
      <c r="W2" s="6"/>
      <c r="X2" s="6"/>
      <c r="Y2" s="6"/>
      <c r="Z2" s="6"/>
      <c r="AA2" s="6" t="s">
        <v>137</v>
      </c>
      <c r="AB2" s="6"/>
      <c r="AC2" s="6"/>
      <c r="AD2" s="6"/>
      <c r="AE2" s="6"/>
      <c r="AF2" s="6" t="s">
        <v>138</v>
      </c>
      <c r="AG2" s="6"/>
      <c r="AH2" s="6"/>
      <c r="AI2" s="6"/>
      <c r="AJ2" s="6"/>
      <c r="AK2" s="6" t="s">
        <v>139</v>
      </c>
      <c r="AL2" s="6"/>
      <c r="AM2" s="6"/>
      <c r="AN2" s="6"/>
      <c r="AO2" s="6"/>
      <c r="AP2" s="6" t="s">
        <v>140</v>
      </c>
      <c r="AQ2" s="6"/>
      <c r="AR2" s="6"/>
      <c r="AS2" s="6"/>
      <c r="AT2" s="6"/>
      <c r="AU2" s="6" t="s">
        <v>141</v>
      </c>
      <c r="AV2" s="6"/>
      <c r="AW2" s="6"/>
      <c r="AX2" s="6"/>
      <c r="AY2" s="6"/>
      <c r="AZ2" s="6" t="s">
        <v>142</v>
      </c>
      <c r="BA2" s="6"/>
      <c r="BB2" s="6"/>
      <c r="BC2" s="6"/>
      <c r="BD2" s="6"/>
      <c r="BE2" s="6" t="s">
        <v>143</v>
      </c>
      <c r="BF2" s="6"/>
      <c r="BG2" s="6"/>
      <c r="BH2" s="6"/>
      <c r="BI2" s="6"/>
      <c r="BJ2" s="6" t="s">
        <v>144</v>
      </c>
      <c r="BK2" s="6"/>
      <c r="BL2" s="6"/>
      <c r="BM2" s="6"/>
      <c r="BN2" s="6"/>
      <c r="BO2" s="6" t="s">
        <v>145</v>
      </c>
      <c r="BP2" s="6"/>
      <c r="BQ2" s="6"/>
      <c r="BR2" s="6"/>
      <c r="BS2" s="6"/>
      <c r="BT2" s="6"/>
      <c r="BU2" s="6" t="s">
        <v>134</v>
      </c>
      <c r="BV2" s="6"/>
      <c r="BW2" s="6"/>
      <c r="BX2" s="6"/>
      <c r="BY2" s="6"/>
      <c r="BZ2" s="6" t="s">
        <v>135</v>
      </c>
      <c r="CA2" s="6"/>
      <c r="CB2" s="6"/>
      <c r="CC2" s="6"/>
      <c r="CD2" s="6"/>
      <c r="CE2" s="6" t="s">
        <v>136</v>
      </c>
      <c r="CF2" s="6"/>
      <c r="CG2" s="6"/>
      <c r="CH2" s="6"/>
      <c r="CI2" s="6"/>
      <c r="CJ2" s="6" t="s">
        <v>137</v>
      </c>
      <c r="CK2" s="6"/>
      <c r="CL2" s="6"/>
      <c r="CM2" s="6"/>
      <c r="CN2" s="6"/>
      <c r="CO2" s="6" t="s">
        <v>138</v>
      </c>
      <c r="CP2" s="6"/>
      <c r="CQ2" s="6"/>
      <c r="CR2" s="6"/>
      <c r="CS2" s="6"/>
      <c r="CT2" s="6" t="s">
        <v>139</v>
      </c>
      <c r="CU2" s="6"/>
      <c r="CV2" s="6"/>
      <c r="CW2" s="6"/>
      <c r="CX2" s="6"/>
      <c r="CY2" s="6" t="s">
        <v>140</v>
      </c>
      <c r="CZ2" s="6"/>
      <c r="DA2" s="6"/>
      <c r="DB2" s="6"/>
      <c r="DC2" s="6"/>
      <c r="DD2" s="6" t="s">
        <v>141</v>
      </c>
      <c r="DE2" s="6"/>
      <c r="DF2" s="6"/>
      <c r="DG2" s="6"/>
      <c r="DH2" s="6"/>
      <c r="DI2" s="6" t="s">
        <v>142</v>
      </c>
      <c r="DJ2" s="6"/>
      <c r="DK2" s="6"/>
      <c r="DL2" s="6"/>
      <c r="DM2" s="6"/>
      <c r="DN2" s="6" t="s">
        <v>143</v>
      </c>
      <c r="DO2" s="6"/>
      <c r="DP2" s="6"/>
      <c r="DQ2" s="6"/>
      <c r="DR2" s="6"/>
      <c r="DS2" s="6" t="s">
        <v>144</v>
      </c>
      <c r="DT2" s="6"/>
      <c r="DU2" s="6"/>
      <c r="DV2" s="6"/>
      <c r="DW2" s="6"/>
      <c r="DX2" s="6" t="s">
        <v>145</v>
      </c>
      <c r="DY2" s="6"/>
      <c r="DZ2" s="6"/>
      <c r="EA2" s="6"/>
      <c r="EB2" s="6"/>
      <c r="EC2" s="6"/>
      <c r="ED2" s="6" t="s">
        <v>134</v>
      </c>
      <c r="EE2" s="6"/>
      <c r="EF2" s="6"/>
      <c r="EG2" s="6"/>
      <c r="EH2" s="6"/>
      <c r="EI2" s="6" t="s">
        <v>135</v>
      </c>
      <c r="EJ2" s="6"/>
      <c r="EK2" s="6"/>
      <c r="EL2" s="6"/>
      <c r="EM2" s="6"/>
      <c r="EN2" s="6" t="s">
        <v>136</v>
      </c>
      <c r="EO2" s="6"/>
      <c r="EP2" s="6"/>
      <c r="EQ2" s="6"/>
      <c r="ER2" s="6"/>
      <c r="ES2" s="6" t="s">
        <v>137</v>
      </c>
      <c r="ET2" s="6"/>
      <c r="EU2" s="6"/>
      <c r="EV2" s="6"/>
      <c r="EW2" s="6"/>
      <c r="EX2" s="6" t="s">
        <v>138</v>
      </c>
      <c r="EY2" s="6"/>
      <c r="EZ2" s="6"/>
      <c r="FA2" s="6"/>
      <c r="FB2" s="6"/>
      <c r="FC2" s="6" t="s">
        <v>139</v>
      </c>
      <c r="FD2" s="6"/>
      <c r="FE2" s="6"/>
      <c r="FF2" s="6"/>
      <c r="FG2" s="6"/>
      <c r="FH2" s="6" t="s">
        <v>140</v>
      </c>
      <c r="FI2" s="6"/>
      <c r="FJ2" s="6"/>
      <c r="FK2" s="6"/>
      <c r="FL2" s="6"/>
      <c r="FM2" s="6" t="s">
        <v>141</v>
      </c>
      <c r="FN2" s="6"/>
      <c r="FO2" s="6"/>
      <c r="FP2" s="6"/>
      <c r="FQ2" s="6"/>
      <c r="FR2" s="6" t="s">
        <v>142</v>
      </c>
      <c r="FS2" s="6"/>
      <c r="FT2" s="6"/>
      <c r="FU2" s="6"/>
      <c r="FV2" s="6"/>
      <c r="FW2" s="6" t="s">
        <v>143</v>
      </c>
      <c r="FX2" s="6"/>
      <c r="FY2" s="6"/>
      <c r="FZ2" s="6"/>
      <c r="GA2" s="6"/>
      <c r="GB2" s="6" t="s">
        <v>144</v>
      </c>
      <c r="GC2" s="6"/>
      <c r="GD2" s="6"/>
      <c r="GE2" s="6"/>
      <c r="GF2" s="6"/>
      <c r="GG2" s="6" t="s">
        <v>145</v>
      </c>
      <c r="GH2" s="6"/>
      <c r="GI2" s="6"/>
      <c r="GJ2" s="6"/>
      <c r="GK2" s="6"/>
    </row>
    <row r="3" ht="14.75" spans="1:193">
      <c r="A3" s="7" t="s">
        <v>146</v>
      </c>
      <c r="B3" s="8" t="s">
        <v>107</v>
      </c>
      <c r="C3" s="8" t="s">
        <v>108</v>
      </c>
      <c r="D3" s="9" t="s">
        <v>109</v>
      </c>
      <c r="E3" s="9" t="s">
        <v>110</v>
      </c>
      <c r="F3" s="10" t="s">
        <v>147</v>
      </c>
      <c r="G3" s="10" t="s">
        <v>148</v>
      </c>
      <c r="H3" s="10" t="s">
        <v>149</v>
      </c>
      <c r="I3" s="10" t="s">
        <v>150</v>
      </c>
      <c r="J3" s="10" t="s">
        <v>151</v>
      </c>
      <c r="K3" s="10" t="s">
        <v>152</v>
      </c>
      <c r="L3" s="10" t="s">
        <v>153</v>
      </c>
      <c r="M3" s="10" t="s">
        <v>154</v>
      </c>
      <c r="N3" s="10" t="s">
        <v>155</v>
      </c>
      <c r="O3" s="10" t="s">
        <v>122</v>
      </c>
      <c r="P3" s="11" t="s">
        <v>156</v>
      </c>
      <c r="Q3" s="10" t="s">
        <v>153</v>
      </c>
      <c r="R3" s="10" t="s">
        <v>154</v>
      </c>
      <c r="S3" s="10" t="s">
        <v>155</v>
      </c>
      <c r="T3" s="10" t="s">
        <v>122</v>
      </c>
      <c r="U3" s="11" t="s">
        <v>156</v>
      </c>
      <c r="V3" s="10" t="s">
        <v>153</v>
      </c>
      <c r="W3" s="10" t="s">
        <v>154</v>
      </c>
      <c r="X3" s="10" t="s">
        <v>155</v>
      </c>
      <c r="Y3" s="10" t="s">
        <v>122</v>
      </c>
      <c r="Z3" s="11" t="s">
        <v>156</v>
      </c>
      <c r="AA3" s="10" t="s">
        <v>153</v>
      </c>
      <c r="AB3" s="10" t="s">
        <v>154</v>
      </c>
      <c r="AC3" s="10" t="s">
        <v>155</v>
      </c>
      <c r="AD3" s="10" t="s">
        <v>122</v>
      </c>
      <c r="AE3" s="11" t="s">
        <v>156</v>
      </c>
      <c r="AF3" s="10" t="s">
        <v>153</v>
      </c>
      <c r="AG3" s="10" t="s">
        <v>154</v>
      </c>
      <c r="AH3" s="10" t="s">
        <v>155</v>
      </c>
      <c r="AI3" s="10" t="s">
        <v>122</v>
      </c>
      <c r="AJ3" s="11" t="s">
        <v>156</v>
      </c>
      <c r="AK3" s="10" t="s">
        <v>153</v>
      </c>
      <c r="AL3" s="10" t="s">
        <v>154</v>
      </c>
      <c r="AM3" s="10" t="s">
        <v>155</v>
      </c>
      <c r="AN3" s="10" t="s">
        <v>122</v>
      </c>
      <c r="AO3" s="11" t="s">
        <v>156</v>
      </c>
      <c r="AP3" s="10" t="s">
        <v>153</v>
      </c>
      <c r="AQ3" s="10" t="s">
        <v>154</v>
      </c>
      <c r="AR3" s="10" t="s">
        <v>155</v>
      </c>
      <c r="AS3" s="10" t="s">
        <v>122</v>
      </c>
      <c r="AT3" s="11" t="s">
        <v>156</v>
      </c>
      <c r="AU3" s="10" t="s">
        <v>153</v>
      </c>
      <c r="AV3" s="10" t="s">
        <v>154</v>
      </c>
      <c r="AW3" s="10" t="s">
        <v>155</v>
      </c>
      <c r="AX3" s="10" t="s">
        <v>122</v>
      </c>
      <c r="AY3" s="11" t="s">
        <v>156</v>
      </c>
      <c r="AZ3" s="10" t="s">
        <v>153</v>
      </c>
      <c r="BA3" s="10" t="s">
        <v>154</v>
      </c>
      <c r="BB3" s="10" t="s">
        <v>155</v>
      </c>
      <c r="BC3" s="10" t="s">
        <v>122</v>
      </c>
      <c r="BD3" s="11" t="s">
        <v>156</v>
      </c>
      <c r="BE3" s="10" t="s">
        <v>153</v>
      </c>
      <c r="BF3" s="10" t="s">
        <v>154</v>
      </c>
      <c r="BG3" s="10" t="s">
        <v>155</v>
      </c>
      <c r="BH3" s="10" t="s">
        <v>122</v>
      </c>
      <c r="BI3" s="11" t="s">
        <v>156</v>
      </c>
      <c r="BJ3" s="10" t="s">
        <v>153</v>
      </c>
      <c r="BK3" s="10" t="s">
        <v>154</v>
      </c>
      <c r="BL3" s="10" t="s">
        <v>155</v>
      </c>
      <c r="BM3" s="10" t="s">
        <v>122</v>
      </c>
      <c r="BN3" s="11" t="s">
        <v>156</v>
      </c>
      <c r="BO3" s="10" t="s">
        <v>153</v>
      </c>
      <c r="BP3" s="10" t="s">
        <v>154</v>
      </c>
      <c r="BQ3" s="10" t="s">
        <v>155</v>
      </c>
      <c r="BR3" s="10" t="s">
        <v>122</v>
      </c>
      <c r="BS3" s="11" t="s">
        <v>156</v>
      </c>
      <c r="BT3" s="10" t="s">
        <v>157</v>
      </c>
      <c r="BU3" s="10" t="s">
        <v>153</v>
      </c>
      <c r="BV3" s="10" t="s">
        <v>154</v>
      </c>
      <c r="BW3" s="10" t="s">
        <v>155</v>
      </c>
      <c r="BX3" s="10" t="s">
        <v>122</v>
      </c>
      <c r="BY3" s="11" t="s">
        <v>156</v>
      </c>
      <c r="BZ3" s="10" t="s">
        <v>153</v>
      </c>
      <c r="CA3" s="10" t="s">
        <v>154</v>
      </c>
      <c r="CB3" s="10" t="s">
        <v>155</v>
      </c>
      <c r="CC3" s="10" t="s">
        <v>122</v>
      </c>
      <c r="CD3" s="11" t="s">
        <v>156</v>
      </c>
      <c r="CE3" s="10" t="s">
        <v>153</v>
      </c>
      <c r="CF3" s="10" t="s">
        <v>154</v>
      </c>
      <c r="CG3" s="10" t="s">
        <v>155</v>
      </c>
      <c r="CH3" s="10" t="s">
        <v>122</v>
      </c>
      <c r="CI3" s="11" t="s">
        <v>156</v>
      </c>
      <c r="CJ3" s="10" t="s">
        <v>153</v>
      </c>
      <c r="CK3" s="10" t="s">
        <v>154</v>
      </c>
      <c r="CL3" s="10" t="s">
        <v>155</v>
      </c>
      <c r="CM3" s="10" t="s">
        <v>122</v>
      </c>
      <c r="CN3" s="11" t="s">
        <v>156</v>
      </c>
      <c r="CO3" s="10" t="s">
        <v>153</v>
      </c>
      <c r="CP3" s="10" t="s">
        <v>154</v>
      </c>
      <c r="CQ3" s="10" t="s">
        <v>155</v>
      </c>
      <c r="CR3" s="10" t="s">
        <v>122</v>
      </c>
      <c r="CS3" s="11" t="s">
        <v>156</v>
      </c>
      <c r="CT3" s="10" t="s">
        <v>153</v>
      </c>
      <c r="CU3" s="10" t="s">
        <v>154</v>
      </c>
      <c r="CV3" s="10" t="s">
        <v>155</v>
      </c>
      <c r="CW3" s="10" t="s">
        <v>122</v>
      </c>
      <c r="CX3" s="11" t="s">
        <v>156</v>
      </c>
      <c r="CY3" s="10" t="s">
        <v>153</v>
      </c>
      <c r="CZ3" s="10" t="s">
        <v>154</v>
      </c>
      <c r="DA3" s="10" t="s">
        <v>155</v>
      </c>
      <c r="DB3" s="10" t="s">
        <v>122</v>
      </c>
      <c r="DC3" s="11" t="s">
        <v>156</v>
      </c>
      <c r="DD3" s="10" t="s">
        <v>153</v>
      </c>
      <c r="DE3" s="10" t="s">
        <v>154</v>
      </c>
      <c r="DF3" s="10" t="s">
        <v>155</v>
      </c>
      <c r="DG3" s="10" t="s">
        <v>122</v>
      </c>
      <c r="DH3" s="11" t="s">
        <v>156</v>
      </c>
      <c r="DI3" s="10" t="s">
        <v>153</v>
      </c>
      <c r="DJ3" s="10" t="s">
        <v>154</v>
      </c>
      <c r="DK3" s="10" t="s">
        <v>155</v>
      </c>
      <c r="DL3" s="10" t="s">
        <v>122</v>
      </c>
      <c r="DM3" s="11" t="s">
        <v>156</v>
      </c>
      <c r="DN3" s="10" t="s">
        <v>153</v>
      </c>
      <c r="DO3" s="10" t="s">
        <v>154</v>
      </c>
      <c r="DP3" s="10" t="s">
        <v>155</v>
      </c>
      <c r="DQ3" s="10" t="s">
        <v>122</v>
      </c>
      <c r="DR3" s="11" t="s">
        <v>156</v>
      </c>
      <c r="DS3" s="10" t="s">
        <v>153</v>
      </c>
      <c r="DT3" s="10" t="s">
        <v>154</v>
      </c>
      <c r="DU3" s="10" t="s">
        <v>155</v>
      </c>
      <c r="DV3" s="10" t="s">
        <v>122</v>
      </c>
      <c r="DW3" s="11" t="s">
        <v>156</v>
      </c>
      <c r="DX3" s="10" t="s">
        <v>153</v>
      </c>
      <c r="DY3" s="10" t="s">
        <v>154</v>
      </c>
      <c r="DZ3" s="10" t="s">
        <v>155</v>
      </c>
      <c r="EA3" s="10" t="s">
        <v>122</v>
      </c>
      <c r="EB3" s="11" t="s">
        <v>156</v>
      </c>
      <c r="EC3" s="10" t="s">
        <v>158</v>
      </c>
      <c r="ED3" s="10" t="s">
        <v>153</v>
      </c>
      <c r="EE3" s="10" t="s">
        <v>154</v>
      </c>
      <c r="EF3" s="10" t="s">
        <v>155</v>
      </c>
      <c r="EG3" s="10" t="s">
        <v>122</v>
      </c>
      <c r="EH3" s="11" t="s">
        <v>156</v>
      </c>
      <c r="EI3" s="10" t="s">
        <v>153</v>
      </c>
      <c r="EJ3" s="10" t="s">
        <v>154</v>
      </c>
      <c r="EK3" s="10" t="s">
        <v>155</v>
      </c>
      <c r="EL3" s="10" t="s">
        <v>122</v>
      </c>
      <c r="EM3" s="11" t="s">
        <v>156</v>
      </c>
      <c r="EN3" s="10" t="s">
        <v>153</v>
      </c>
      <c r="EO3" s="10" t="s">
        <v>154</v>
      </c>
      <c r="EP3" s="10" t="s">
        <v>155</v>
      </c>
      <c r="EQ3" s="10" t="s">
        <v>122</v>
      </c>
      <c r="ER3" s="11" t="s">
        <v>156</v>
      </c>
      <c r="ES3" s="10" t="s">
        <v>153</v>
      </c>
      <c r="ET3" s="10" t="s">
        <v>154</v>
      </c>
      <c r="EU3" s="10" t="s">
        <v>155</v>
      </c>
      <c r="EV3" s="10" t="s">
        <v>122</v>
      </c>
      <c r="EW3" s="11" t="s">
        <v>156</v>
      </c>
      <c r="EX3" s="10" t="s">
        <v>153</v>
      </c>
      <c r="EY3" s="10" t="s">
        <v>154</v>
      </c>
      <c r="EZ3" s="10" t="s">
        <v>155</v>
      </c>
      <c r="FA3" s="10" t="s">
        <v>122</v>
      </c>
      <c r="FB3" s="11" t="s">
        <v>156</v>
      </c>
      <c r="FC3" s="10" t="s">
        <v>153</v>
      </c>
      <c r="FD3" s="10" t="s">
        <v>154</v>
      </c>
      <c r="FE3" s="10" t="s">
        <v>155</v>
      </c>
      <c r="FF3" s="10" t="s">
        <v>122</v>
      </c>
      <c r="FG3" s="11" t="s">
        <v>156</v>
      </c>
      <c r="FH3" s="10" t="s">
        <v>153</v>
      </c>
      <c r="FI3" s="10" t="s">
        <v>154</v>
      </c>
      <c r="FJ3" s="10" t="s">
        <v>155</v>
      </c>
      <c r="FK3" s="10" t="s">
        <v>122</v>
      </c>
      <c r="FL3" s="11" t="s">
        <v>156</v>
      </c>
      <c r="FM3" s="10" t="s">
        <v>153</v>
      </c>
      <c r="FN3" s="10" t="s">
        <v>154</v>
      </c>
      <c r="FO3" s="10" t="s">
        <v>155</v>
      </c>
      <c r="FP3" s="10" t="s">
        <v>122</v>
      </c>
      <c r="FQ3" s="11" t="s">
        <v>156</v>
      </c>
      <c r="FR3" s="10" t="s">
        <v>153</v>
      </c>
      <c r="FS3" s="10" t="s">
        <v>154</v>
      </c>
      <c r="FT3" s="10" t="s">
        <v>155</v>
      </c>
      <c r="FU3" s="10" t="s">
        <v>122</v>
      </c>
      <c r="FV3" s="11" t="s">
        <v>156</v>
      </c>
      <c r="FW3" s="10" t="s">
        <v>153</v>
      </c>
      <c r="FX3" s="10" t="s">
        <v>154</v>
      </c>
      <c r="FY3" s="10" t="s">
        <v>155</v>
      </c>
      <c r="FZ3" s="10" t="s">
        <v>122</v>
      </c>
      <c r="GA3" s="11" t="s">
        <v>156</v>
      </c>
      <c r="GB3" s="10" t="s">
        <v>153</v>
      </c>
      <c r="GC3" s="10" t="s">
        <v>154</v>
      </c>
      <c r="GD3" s="10" t="s">
        <v>155</v>
      </c>
      <c r="GE3" s="10" t="s">
        <v>122</v>
      </c>
      <c r="GF3" s="11" t="s">
        <v>156</v>
      </c>
      <c r="GG3" s="10" t="s">
        <v>153</v>
      </c>
      <c r="GH3" s="10" t="s">
        <v>154</v>
      </c>
      <c r="GI3" s="10" t="s">
        <v>155</v>
      </c>
      <c r="GJ3" s="10" t="s">
        <v>122</v>
      </c>
      <c r="GK3" s="11" t="s">
        <v>156</v>
      </c>
    </row>
    <row r="4" spans="1:193">
      <c r="A4" s="12">
        <v>1</v>
      </c>
      <c r="B4" s="13">
        <f>[1]项目立项!C24</f>
        <v>0</v>
      </c>
      <c r="C4" s="13">
        <f>[1]项目立项!D24</f>
        <v>0</v>
      </c>
      <c r="D4" s="13">
        <f>[1]项目立项!E24</f>
        <v>0</v>
      </c>
      <c r="E4" s="13">
        <f>[1]项目立项!F24</f>
        <v>0</v>
      </c>
      <c r="F4" s="14"/>
      <c r="G4" s="15">
        <f t="shared" ref="G4:G43" si="0">K4+BT4+EC4</f>
        <v>0</v>
      </c>
      <c r="H4" s="16"/>
      <c r="I4" s="17"/>
      <c r="J4" s="16"/>
      <c r="K4" s="16">
        <f t="shared" ref="K4:K43" si="1">SUM(N4:P4,S4:U4,X4:Z4,AC4:AE4,AH4:AJ4,AM4:AO4,AR4:AT4,AW4:AY4,BB4:BD4,BG4:BI4,BL4:BN4,BQ4:BS4)</f>
        <v>0</v>
      </c>
      <c r="L4" s="14"/>
      <c r="M4" s="16"/>
      <c r="N4" s="18">
        <f t="shared" ref="N4:N43" si="2">L4*$H4+($I4+$J4)*M4</f>
        <v>0</v>
      </c>
      <c r="O4" s="16"/>
      <c r="P4" s="19"/>
      <c r="Q4" s="14"/>
      <c r="R4" s="16"/>
      <c r="S4" s="18">
        <f t="shared" ref="S4:S43" si="3">Q4*$H4+($I4+$J4)*R4</f>
        <v>0</v>
      </c>
      <c r="T4" s="16"/>
      <c r="U4" s="19"/>
      <c r="V4" s="14"/>
      <c r="W4" s="16"/>
      <c r="X4" s="18">
        <f t="shared" ref="X4:X43" si="4">V4*$H4+($I4+$J4)*W4</f>
        <v>0</v>
      </c>
      <c r="Y4" s="16"/>
      <c r="Z4" s="19"/>
      <c r="AA4" s="14"/>
      <c r="AB4" s="16"/>
      <c r="AC4" s="18">
        <f t="shared" ref="AC4:AC43" si="5">AA4*$H4+($I4+$J4)*AB4</f>
        <v>0</v>
      </c>
      <c r="AD4" s="16"/>
      <c r="AE4" s="19"/>
      <c r="AF4" s="14"/>
      <c r="AG4" s="16"/>
      <c r="AH4" s="18">
        <f t="shared" ref="AH4:AH43" si="6">AF4*$H4+($I4+$J4)*AG4</f>
        <v>0</v>
      </c>
      <c r="AI4" s="16"/>
      <c r="AJ4" s="19"/>
      <c r="AK4" s="14"/>
      <c r="AL4" s="16"/>
      <c r="AM4" s="18">
        <f t="shared" ref="AM4:AM43" si="7">AK4*$H4+($I4+$J4)*AL4</f>
        <v>0</v>
      </c>
      <c r="AN4" s="16"/>
      <c r="AO4" s="19"/>
      <c r="AP4" s="14"/>
      <c r="AQ4" s="16"/>
      <c r="AR4" s="18">
        <f t="shared" ref="AR4:AR43" si="8">AP4*$H4+($I4+$J4)*AQ4</f>
        <v>0</v>
      </c>
      <c r="AS4" s="16"/>
      <c r="AT4" s="19"/>
      <c r="AU4" s="14"/>
      <c r="AV4" s="16"/>
      <c r="AW4" s="18">
        <f t="shared" ref="AW4:AW43" si="9">AU4*$H4+($I4+$J4)*AV4</f>
        <v>0</v>
      </c>
      <c r="AX4" s="16"/>
      <c r="AY4" s="19"/>
      <c r="AZ4" s="14"/>
      <c r="BA4" s="16"/>
      <c r="BB4" s="18">
        <f t="shared" ref="BB4:BB43" si="10">AZ4*$H4+($I4+$J4)*BA4</f>
        <v>0</v>
      </c>
      <c r="BC4" s="16"/>
      <c r="BD4" s="19"/>
      <c r="BE4" s="14"/>
      <c r="BF4" s="16"/>
      <c r="BG4" s="18">
        <f t="shared" ref="BG4:BG43" si="11">BE4*$H4+($I4+$J4)*BF4</f>
        <v>0</v>
      </c>
      <c r="BH4" s="16"/>
      <c r="BI4" s="19"/>
      <c r="BJ4" s="14"/>
      <c r="BK4" s="16"/>
      <c r="BL4" s="18">
        <f t="shared" ref="BL4:BL43" si="12">BJ4*$H4+($I4+$J4)*BK4</f>
        <v>0</v>
      </c>
      <c r="BM4" s="16"/>
      <c r="BN4" s="19"/>
      <c r="BO4" s="14"/>
      <c r="BP4" s="16"/>
      <c r="BQ4" s="18">
        <f t="shared" ref="BQ4:BQ43" si="13">BO4*$H4+($I4+$J4)*BP4</f>
        <v>0</v>
      </c>
      <c r="BR4" s="16"/>
      <c r="BS4" s="19"/>
      <c r="BT4" s="16">
        <f t="shared" ref="BT4:BT43" si="14">SUM(BW4:BY4,CB4:CD4,CG4:CI4,CL4:CN4,CQ4:CS4,CV4:CX4,DA4:DC4,DF4:DH4,DK4:DM4,DP4:DR4,DU4:DW4,DZ4:EB4)</f>
        <v>0</v>
      </c>
      <c r="BU4" s="14"/>
      <c r="BV4" s="16"/>
      <c r="BW4" s="18">
        <f t="shared" ref="BW4:BW43" si="15">BU4*$H4+($I4+$J4)*BV4</f>
        <v>0</v>
      </c>
      <c r="BX4" s="16"/>
      <c r="BY4" s="19"/>
      <c r="BZ4" s="14"/>
      <c r="CA4" s="16"/>
      <c r="CB4" s="18">
        <f t="shared" ref="CB4:CB43" si="16">BZ4*$H4+($I4+$J4)*CA4</f>
        <v>0</v>
      </c>
      <c r="CC4" s="16"/>
      <c r="CD4" s="19"/>
      <c r="CE4" s="14"/>
      <c r="CF4" s="16"/>
      <c r="CG4" s="18">
        <f t="shared" ref="CG4:CG43" si="17">CE4*$H4+($I4+$J4)*CF4</f>
        <v>0</v>
      </c>
      <c r="CH4" s="16"/>
      <c r="CI4" s="19"/>
      <c r="CJ4" s="14"/>
      <c r="CK4" s="16"/>
      <c r="CL4" s="18">
        <f t="shared" ref="CL4:CL43" si="18">CJ4*$H4+($I4+$J4)*CK4</f>
        <v>0</v>
      </c>
      <c r="CM4" s="16"/>
      <c r="CN4" s="19"/>
      <c r="CO4" s="14"/>
      <c r="CP4" s="16"/>
      <c r="CQ4" s="18">
        <f t="shared" ref="CQ4:CQ43" si="19">CO4*$H4+($I4+$J4)*CP4</f>
        <v>0</v>
      </c>
      <c r="CR4" s="16"/>
      <c r="CS4" s="19"/>
      <c r="CT4" s="14"/>
      <c r="CU4" s="16"/>
      <c r="CV4" s="18">
        <f t="shared" ref="CV4:CV43" si="20">CT4*$H4+($I4+$J4)*CU4</f>
        <v>0</v>
      </c>
      <c r="CW4" s="16"/>
      <c r="CX4" s="19"/>
      <c r="CY4" s="14"/>
      <c r="CZ4" s="16"/>
      <c r="DA4" s="18">
        <f t="shared" ref="DA4:DA43" si="21">CY4*$H4+($I4+$J4)*CZ4</f>
        <v>0</v>
      </c>
      <c r="DB4" s="16"/>
      <c r="DC4" s="19"/>
      <c r="DD4" s="14"/>
      <c r="DE4" s="16"/>
      <c r="DF4" s="18">
        <f t="shared" ref="DF4:DF43" si="22">DD4*$H4+($I4+$J4)*DE4</f>
        <v>0</v>
      </c>
      <c r="DG4" s="16"/>
      <c r="DH4" s="19"/>
      <c r="DI4" s="14"/>
      <c r="DJ4" s="16"/>
      <c r="DK4" s="18">
        <f t="shared" ref="DK4:DK43" si="23">DI4*$H4+($I4+$J4)*DJ4</f>
        <v>0</v>
      </c>
      <c r="DL4" s="16"/>
      <c r="DM4" s="19"/>
      <c r="DN4" s="14"/>
      <c r="DO4" s="16"/>
      <c r="DP4" s="18">
        <f t="shared" ref="DP4:DP43" si="24">DN4*$H4+($I4+$J4)*DO4</f>
        <v>0</v>
      </c>
      <c r="DQ4" s="16"/>
      <c r="DR4" s="19"/>
      <c r="DS4" s="14"/>
      <c r="DT4" s="16"/>
      <c r="DU4" s="18">
        <f t="shared" ref="DU4:DU43" si="25">DS4*$H4+($I4+$J4)*DT4</f>
        <v>0</v>
      </c>
      <c r="DV4" s="16"/>
      <c r="DW4" s="19"/>
      <c r="DX4" s="14"/>
      <c r="DY4" s="16"/>
      <c r="DZ4" s="18">
        <f t="shared" ref="DZ4:DZ43" si="26">DX4*$H4+($I4+$J4)*DY4</f>
        <v>0</v>
      </c>
      <c r="EA4" s="16"/>
      <c r="EB4" s="19"/>
      <c r="EC4" s="16">
        <f t="shared" ref="EC4:EC43" si="27">SUM(EF4:EH4,EK4:EM4,EP4:ER4,EU4:EW4,EZ4:FB4,FE4:FG4,FJ4:FL4,FO4:FQ4,FT4:FV4,FY4:GA4,GD4:GF4,GI4:GK4)</f>
        <v>0</v>
      </c>
      <c r="ED4" s="14"/>
      <c r="EE4" s="16"/>
      <c r="EF4" s="18">
        <f t="shared" ref="EF4:EF43" si="28">ED4*$H4+($I4+$J4)*EE4</f>
        <v>0</v>
      </c>
      <c r="EG4" s="16"/>
      <c r="EH4" s="19"/>
      <c r="EI4" s="14"/>
      <c r="EJ4" s="16"/>
      <c r="EK4" s="18">
        <f t="shared" ref="EK4:EK43" si="29">EI4*$H4+($I4+$J4)*EJ4</f>
        <v>0</v>
      </c>
      <c r="EL4" s="16"/>
      <c r="EM4" s="19"/>
      <c r="EN4" s="14"/>
      <c r="EO4" s="16"/>
      <c r="EP4" s="18">
        <f t="shared" ref="EP4:EP43" si="30">EN4*$H4+($I4+$J4)*EO4</f>
        <v>0</v>
      </c>
      <c r="EQ4" s="16"/>
      <c r="ER4" s="19"/>
      <c r="ES4" s="14"/>
      <c r="ET4" s="16"/>
      <c r="EU4" s="18">
        <f t="shared" ref="EU4:EU43" si="31">ES4*$H4+($I4+$J4)*ET4</f>
        <v>0</v>
      </c>
      <c r="EV4" s="16"/>
      <c r="EW4" s="19"/>
      <c r="EX4" s="14"/>
      <c r="EY4" s="16"/>
      <c r="EZ4" s="18">
        <f t="shared" ref="EZ4:EZ43" si="32">EX4*$H4+($I4+$J4)*EY4</f>
        <v>0</v>
      </c>
      <c r="FA4" s="16"/>
      <c r="FB4" s="19"/>
      <c r="FC4" s="14"/>
      <c r="FD4" s="16"/>
      <c r="FE4" s="18">
        <f t="shared" ref="FE4:FE43" si="33">FC4*$H4+($I4+$J4)*FD4</f>
        <v>0</v>
      </c>
      <c r="FF4" s="16"/>
      <c r="FG4" s="19"/>
      <c r="FH4" s="14"/>
      <c r="FI4" s="16"/>
      <c r="FJ4" s="18">
        <f t="shared" ref="FJ4:FJ43" si="34">FH4*$H4+($I4+$J4)*FI4</f>
        <v>0</v>
      </c>
      <c r="FK4" s="16"/>
      <c r="FL4" s="19"/>
      <c r="FM4" s="14"/>
      <c r="FN4" s="16"/>
      <c r="FO4" s="18">
        <f t="shared" ref="FO4:FO43" si="35">FM4*$H4+($I4+$J4)*FN4</f>
        <v>0</v>
      </c>
      <c r="FP4" s="16"/>
      <c r="FQ4" s="19"/>
      <c r="FR4" s="14"/>
      <c r="FS4" s="16"/>
      <c r="FT4" s="18">
        <f t="shared" ref="FT4:FT43" si="36">FR4*$H4+($I4+$J4)*FS4</f>
        <v>0</v>
      </c>
      <c r="FU4" s="16"/>
      <c r="FV4" s="19"/>
      <c r="FW4" s="14"/>
      <c r="FX4" s="16"/>
      <c r="FY4" s="18">
        <f t="shared" ref="FY4:FY43" si="37">FW4*$H4+($I4+$J4)*FX4</f>
        <v>0</v>
      </c>
      <c r="FZ4" s="16"/>
      <c r="GA4" s="19"/>
      <c r="GB4" s="14"/>
      <c r="GC4" s="16"/>
      <c r="GD4" s="18">
        <f t="shared" ref="GD4:GD43" si="38">GB4*$H4+($I4+$J4)*GC4</f>
        <v>0</v>
      </c>
      <c r="GE4" s="16"/>
      <c r="GF4" s="19"/>
      <c r="GG4" s="14"/>
      <c r="GH4" s="16"/>
      <c r="GI4" s="18">
        <f t="shared" ref="GI4:GI43" si="39">GG4*$H4+($I4+$J4)*GH4</f>
        <v>0</v>
      </c>
      <c r="GJ4" s="16"/>
      <c r="GK4" s="19"/>
    </row>
    <row r="5" spans="1:193">
      <c r="A5" s="12">
        <v>2</v>
      </c>
      <c r="B5" s="13">
        <f>[1]项目立项!C25</f>
        <v>0</v>
      </c>
      <c r="C5" s="13">
        <f>[1]项目立项!D25</f>
        <v>0</v>
      </c>
      <c r="D5" s="13">
        <f>[1]项目立项!E25</f>
        <v>0</v>
      </c>
      <c r="E5" s="13">
        <f>[1]项目立项!F25</f>
        <v>0</v>
      </c>
      <c r="F5" s="14"/>
      <c r="G5" s="15">
        <f t="shared" si="0"/>
        <v>0</v>
      </c>
      <c r="H5" s="16"/>
      <c r="I5" s="17"/>
      <c r="J5" s="16"/>
      <c r="K5" s="16">
        <f t="shared" si="1"/>
        <v>0</v>
      </c>
      <c r="L5" s="14"/>
      <c r="M5" s="16"/>
      <c r="N5" s="18">
        <f t="shared" si="2"/>
        <v>0</v>
      </c>
      <c r="O5" s="16"/>
      <c r="P5" s="19"/>
      <c r="Q5" s="14"/>
      <c r="R5" s="16"/>
      <c r="S5" s="18">
        <f t="shared" si="3"/>
        <v>0</v>
      </c>
      <c r="T5" s="16"/>
      <c r="U5" s="19"/>
      <c r="V5" s="14"/>
      <c r="W5" s="16"/>
      <c r="X5" s="18">
        <f t="shared" si="4"/>
        <v>0</v>
      </c>
      <c r="Y5" s="16"/>
      <c r="Z5" s="19"/>
      <c r="AA5" s="14"/>
      <c r="AB5" s="16"/>
      <c r="AC5" s="18">
        <f t="shared" si="5"/>
        <v>0</v>
      </c>
      <c r="AD5" s="16"/>
      <c r="AE5" s="19"/>
      <c r="AF5" s="14"/>
      <c r="AG5" s="16"/>
      <c r="AH5" s="18">
        <f t="shared" si="6"/>
        <v>0</v>
      </c>
      <c r="AI5" s="16"/>
      <c r="AJ5" s="19"/>
      <c r="AK5" s="14"/>
      <c r="AL5" s="16"/>
      <c r="AM5" s="18">
        <f t="shared" si="7"/>
        <v>0</v>
      </c>
      <c r="AN5" s="16"/>
      <c r="AO5" s="19"/>
      <c r="AP5" s="14"/>
      <c r="AQ5" s="16"/>
      <c r="AR5" s="18">
        <f t="shared" si="8"/>
        <v>0</v>
      </c>
      <c r="AS5" s="16"/>
      <c r="AT5" s="19"/>
      <c r="AU5" s="14"/>
      <c r="AV5" s="16"/>
      <c r="AW5" s="18">
        <f t="shared" si="9"/>
        <v>0</v>
      </c>
      <c r="AX5" s="16"/>
      <c r="AY5" s="19"/>
      <c r="AZ5" s="14"/>
      <c r="BA5" s="16"/>
      <c r="BB5" s="18">
        <f t="shared" si="10"/>
        <v>0</v>
      </c>
      <c r="BC5" s="16"/>
      <c r="BD5" s="19"/>
      <c r="BE5" s="14"/>
      <c r="BF5" s="16"/>
      <c r="BG5" s="18">
        <f t="shared" si="11"/>
        <v>0</v>
      </c>
      <c r="BH5" s="16"/>
      <c r="BI5" s="19"/>
      <c r="BJ5" s="14"/>
      <c r="BK5" s="16"/>
      <c r="BL5" s="18">
        <f t="shared" si="12"/>
        <v>0</v>
      </c>
      <c r="BM5" s="16"/>
      <c r="BN5" s="19"/>
      <c r="BO5" s="14"/>
      <c r="BP5" s="16"/>
      <c r="BQ5" s="18">
        <f t="shared" si="13"/>
        <v>0</v>
      </c>
      <c r="BR5" s="16"/>
      <c r="BS5" s="19"/>
      <c r="BT5" s="16">
        <f t="shared" si="14"/>
        <v>0</v>
      </c>
      <c r="BU5" s="14"/>
      <c r="BV5" s="16"/>
      <c r="BW5" s="18">
        <f t="shared" si="15"/>
        <v>0</v>
      </c>
      <c r="BX5" s="16"/>
      <c r="BY5" s="19"/>
      <c r="BZ5" s="14"/>
      <c r="CA5" s="16"/>
      <c r="CB5" s="18">
        <f t="shared" si="16"/>
        <v>0</v>
      </c>
      <c r="CC5" s="16"/>
      <c r="CD5" s="19"/>
      <c r="CE5" s="14"/>
      <c r="CF5" s="16"/>
      <c r="CG5" s="18">
        <f t="shared" si="17"/>
        <v>0</v>
      </c>
      <c r="CH5" s="16"/>
      <c r="CI5" s="19"/>
      <c r="CJ5" s="14"/>
      <c r="CK5" s="16"/>
      <c r="CL5" s="18">
        <f t="shared" si="18"/>
        <v>0</v>
      </c>
      <c r="CM5" s="16"/>
      <c r="CN5" s="19"/>
      <c r="CO5" s="14"/>
      <c r="CP5" s="16"/>
      <c r="CQ5" s="18">
        <f t="shared" si="19"/>
        <v>0</v>
      </c>
      <c r="CR5" s="16"/>
      <c r="CS5" s="19"/>
      <c r="CT5" s="14"/>
      <c r="CU5" s="16"/>
      <c r="CV5" s="18">
        <f t="shared" si="20"/>
        <v>0</v>
      </c>
      <c r="CW5" s="16"/>
      <c r="CX5" s="19"/>
      <c r="CY5" s="14"/>
      <c r="CZ5" s="16"/>
      <c r="DA5" s="18">
        <f t="shared" si="21"/>
        <v>0</v>
      </c>
      <c r="DB5" s="16"/>
      <c r="DC5" s="19"/>
      <c r="DD5" s="14"/>
      <c r="DE5" s="16"/>
      <c r="DF5" s="18">
        <f t="shared" si="22"/>
        <v>0</v>
      </c>
      <c r="DG5" s="16"/>
      <c r="DH5" s="19"/>
      <c r="DI5" s="14"/>
      <c r="DJ5" s="16"/>
      <c r="DK5" s="18">
        <f t="shared" si="23"/>
        <v>0</v>
      </c>
      <c r="DL5" s="16"/>
      <c r="DM5" s="19"/>
      <c r="DN5" s="14"/>
      <c r="DO5" s="16"/>
      <c r="DP5" s="18">
        <f t="shared" si="24"/>
        <v>0</v>
      </c>
      <c r="DQ5" s="16"/>
      <c r="DR5" s="19"/>
      <c r="DS5" s="14"/>
      <c r="DT5" s="16"/>
      <c r="DU5" s="18">
        <f t="shared" si="25"/>
        <v>0</v>
      </c>
      <c r="DV5" s="16"/>
      <c r="DW5" s="19"/>
      <c r="DX5" s="14"/>
      <c r="DY5" s="16"/>
      <c r="DZ5" s="18">
        <f t="shared" si="26"/>
        <v>0</v>
      </c>
      <c r="EA5" s="16"/>
      <c r="EB5" s="19"/>
      <c r="EC5" s="16">
        <f t="shared" si="27"/>
        <v>0</v>
      </c>
      <c r="ED5" s="14"/>
      <c r="EE5" s="16"/>
      <c r="EF5" s="18">
        <f t="shared" si="28"/>
        <v>0</v>
      </c>
      <c r="EG5" s="16"/>
      <c r="EH5" s="19"/>
      <c r="EI5" s="14"/>
      <c r="EJ5" s="16"/>
      <c r="EK5" s="18">
        <f t="shared" si="29"/>
        <v>0</v>
      </c>
      <c r="EL5" s="16"/>
      <c r="EM5" s="19"/>
      <c r="EN5" s="14"/>
      <c r="EO5" s="16"/>
      <c r="EP5" s="18">
        <f t="shared" si="30"/>
        <v>0</v>
      </c>
      <c r="EQ5" s="16"/>
      <c r="ER5" s="19"/>
      <c r="ES5" s="14"/>
      <c r="ET5" s="16"/>
      <c r="EU5" s="18">
        <f t="shared" si="31"/>
        <v>0</v>
      </c>
      <c r="EV5" s="16"/>
      <c r="EW5" s="19"/>
      <c r="EX5" s="14"/>
      <c r="EY5" s="16"/>
      <c r="EZ5" s="18">
        <f t="shared" si="32"/>
        <v>0</v>
      </c>
      <c r="FA5" s="16"/>
      <c r="FB5" s="19"/>
      <c r="FC5" s="14"/>
      <c r="FD5" s="16"/>
      <c r="FE5" s="18">
        <f t="shared" si="33"/>
        <v>0</v>
      </c>
      <c r="FF5" s="16"/>
      <c r="FG5" s="19"/>
      <c r="FH5" s="14"/>
      <c r="FI5" s="16"/>
      <c r="FJ5" s="18">
        <f t="shared" si="34"/>
        <v>0</v>
      </c>
      <c r="FK5" s="16"/>
      <c r="FL5" s="19"/>
      <c r="FM5" s="14"/>
      <c r="FN5" s="16"/>
      <c r="FO5" s="18">
        <f t="shared" si="35"/>
        <v>0</v>
      </c>
      <c r="FP5" s="16"/>
      <c r="FQ5" s="19"/>
      <c r="FR5" s="14"/>
      <c r="FS5" s="16"/>
      <c r="FT5" s="18">
        <f t="shared" si="36"/>
        <v>0</v>
      </c>
      <c r="FU5" s="16"/>
      <c r="FV5" s="19"/>
      <c r="FW5" s="14"/>
      <c r="FX5" s="16"/>
      <c r="FY5" s="18">
        <f t="shared" si="37"/>
        <v>0</v>
      </c>
      <c r="FZ5" s="16"/>
      <c r="GA5" s="19"/>
      <c r="GB5" s="14"/>
      <c r="GC5" s="16"/>
      <c r="GD5" s="18">
        <f t="shared" si="38"/>
        <v>0</v>
      </c>
      <c r="GE5" s="16"/>
      <c r="GF5" s="19"/>
      <c r="GG5" s="14"/>
      <c r="GH5" s="16"/>
      <c r="GI5" s="18">
        <f t="shared" si="39"/>
        <v>0</v>
      </c>
      <c r="GJ5" s="16"/>
      <c r="GK5" s="19"/>
    </row>
    <row r="6" spans="1:193">
      <c r="A6" s="12">
        <v>3</v>
      </c>
      <c r="B6" s="13">
        <f>[1]项目立项!C26</f>
        <v>0</v>
      </c>
      <c r="C6" s="13">
        <f>[1]项目立项!D26</f>
        <v>0</v>
      </c>
      <c r="D6" s="13">
        <f>[1]项目立项!E26</f>
        <v>0</v>
      </c>
      <c r="E6" s="13">
        <f>[1]项目立项!F26</f>
        <v>0</v>
      </c>
      <c r="F6" s="14"/>
      <c r="G6" s="15">
        <f t="shared" si="0"/>
        <v>0</v>
      </c>
      <c r="H6" s="16"/>
      <c r="I6" s="17"/>
      <c r="J6" s="16"/>
      <c r="K6" s="16">
        <f t="shared" si="1"/>
        <v>0</v>
      </c>
      <c r="L6" s="14"/>
      <c r="M6" s="16"/>
      <c r="N6" s="18">
        <f t="shared" si="2"/>
        <v>0</v>
      </c>
      <c r="O6" s="16"/>
      <c r="P6" s="19"/>
      <c r="Q6" s="14"/>
      <c r="R6" s="16"/>
      <c r="S6" s="18">
        <f t="shared" si="3"/>
        <v>0</v>
      </c>
      <c r="T6" s="16"/>
      <c r="U6" s="19"/>
      <c r="V6" s="14"/>
      <c r="W6" s="16"/>
      <c r="X6" s="18">
        <f t="shared" si="4"/>
        <v>0</v>
      </c>
      <c r="Y6" s="16"/>
      <c r="Z6" s="19"/>
      <c r="AA6" s="14"/>
      <c r="AB6" s="16"/>
      <c r="AC6" s="18">
        <f t="shared" si="5"/>
        <v>0</v>
      </c>
      <c r="AD6" s="16"/>
      <c r="AE6" s="19"/>
      <c r="AF6" s="14"/>
      <c r="AG6" s="16"/>
      <c r="AH6" s="18">
        <f t="shared" si="6"/>
        <v>0</v>
      </c>
      <c r="AI6" s="16"/>
      <c r="AJ6" s="19"/>
      <c r="AK6" s="14"/>
      <c r="AL6" s="16"/>
      <c r="AM6" s="18">
        <f t="shared" si="7"/>
        <v>0</v>
      </c>
      <c r="AN6" s="16"/>
      <c r="AO6" s="19"/>
      <c r="AP6" s="14"/>
      <c r="AQ6" s="16"/>
      <c r="AR6" s="18">
        <f t="shared" si="8"/>
        <v>0</v>
      </c>
      <c r="AS6" s="16"/>
      <c r="AT6" s="19"/>
      <c r="AU6" s="14"/>
      <c r="AV6" s="16"/>
      <c r="AW6" s="18">
        <f t="shared" si="9"/>
        <v>0</v>
      </c>
      <c r="AX6" s="16"/>
      <c r="AY6" s="19"/>
      <c r="AZ6" s="14"/>
      <c r="BA6" s="16"/>
      <c r="BB6" s="18">
        <f t="shared" si="10"/>
        <v>0</v>
      </c>
      <c r="BC6" s="16"/>
      <c r="BD6" s="19"/>
      <c r="BE6" s="14"/>
      <c r="BF6" s="16"/>
      <c r="BG6" s="18">
        <f t="shared" si="11"/>
        <v>0</v>
      </c>
      <c r="BH6" s="16"/>
      <c r="BI6" s="19"/>
      <c r="BJ6" s="14"/>
      <c r="BK6" s="16"/>
      <c r="BL6" s="18">
        <f t="shared" si="12"/>
        <v>0</v>
      </c>
      <c r="BM6" s="16"/>
      <c r="BN6" s="19"/>
      <c r="BO6" s="14"/>
      <c r="BP6" s="16"/>
      <c r="BQ6" s="18">
        <f t="shared" si="13"/>
        <v>0</v>
      </c>
      <c r="BR6" s="16"/>
      <c r="BS6" s="19"/>
      <c r="BT6" s="16">
        <f t="shared" si="14"/>
        <v>0</v>
      </c>
      <c r="BU6" s="14"/>
      <c r="BV6" s="16"/>
      <c r="BW6" s="18">
        <f t="shared" si="15"/>
        <v>0</v>
      </c>
      <c r="BX6" s="16"/>
      <c r="BY6" s="19"/>
      <c r="BZ6" s="14"/>
      <c r="CA6" s="16"/>
      <c r="CB6" s="18">
        <f t="shared" si="16"/>
        <v>0</v>
      </c>
      <c r="CC6" s="16"/>
      <c r="CD6" s="19"/>
      <c r="CE6" s="14"/>
      <c r="CF6" s="16"/>
      <c r="CG6" s="18">
        <f t="shared" si="17"/>
        <v>0</v>
      </c>
      <c r="CH6" s="16"/>
      <c r="CI6" s="19"/>
      <c r="CJ6" s="14"/>
      <c r="CK6" s="16"/>
      <c r="CL6" s="18">
        <f t="shared" si="18"/>
        <v>0</v>
      </c>
      <c r="CM6" s="16"/>
      <c r="CN6" s="19"/>
      <c r="CO6" s="14"/>
      <c r="CP6" s="16"/>
      <c r="CQ6" s="18">
        <f t="shared" si="19"/>
        <v>0</v>
      </c>
      <c r="CR6" s="16"/>
      <c r="CS6" s="19"/>
      <c r="CT6" s="14"/>
      <c r="CU6" s="16"/>
      <c r="CV6" s="18">
        <f t="shared" si="20"/>
        <v>0</v>
      </c>
      <c r="CW6" s="16"/>
      <c r="CX6" s="19"/>
      <c r="CY6" s="14"/>
      <c r="CZ6" s="16"/>
      <c r="DA6" s="18">
        <f t="shared" si="21"/>
        <v>0</v>
      </c>
      <c r="DB6" s="16"/>
      <c r="DC6" s="19"/>
      <c r="DD6" s="14"/>
      <c r="DE6" s="16"/>
      <c r="DF6" s="18">
        <f t="shared" si="22"/>
        <v>0</v>
      </c>
      <c r="DG6" s="16"/>
      <c r="DH6" s="19"/>
      <c r="DI6" s="14"/>
      <c r="DJ6" s="16"/>
      <c r="DK6" s="18">
        <f t="shared" si="23"/>
        <v>0</v>
      </c>
      <c r="DL6" s="16"/>
      <c r="DM6" s="19"/>
      <c r="DN6" s="14"/>
      <c r="DO6" s="16"/>
      <c r="DP6" s="18">
        <f t="shared" si="24"/>
        <v>0</v>
      </c>
      <c r="DQ6" s="16"/>
      <c r="DR6" s="19"/>
      <c r="DS6" s="14"/>
      <c r="DT6" s="16"/>
      <c r="DU6" s="18">
        <f t="shared" si="25"/>
        <v>0</v>
      </c>
      <c r="DV6" s="16"/>
      <c r="DW6" s="19"/>
      <c r="DX6" s="14"/>
      <c r="DY6" s="16"/>
      <c r="DZ6" s="18">
        <f t="shared" si="26"/>
        <v>0</v>
      </c>
      <c r="EA6" s="16"/>
      <c r="EB6" s="19"/>
      <c r="EC6" s="16">
        <f t="shared" si="27"/>
        <v>0</v>
      </c>
      <c r="ED6" s="14"/>
      <c r="EE6" s="16"/>
      <c r="EF6" s="18">
        <f t="shared" si="28"/>
        <v>0</v>
      </c>
      <c r="EG6" s="16"/>
      <c r="EH6" s="19"/>
      <c r="EI6" s="14"/>
      <c r="EJ6" s="16"/>
      <c r="EK6" s="18">
        <f t="shared" si="29"/>
        <v>0</v>
      </c>
      <c r="EL6" s="16"/>
      <c r="EM6" s="19"/>
      <c r="EN6" s="14"/>
      <c r="EO6" s="16"/>
      <c r="EP6" s="18">
        <f t="shared" si="30"/>
        <v>0</v>
      </c>
      <c r="EQ6" s="16"/>
      <c r="ER6" s="19"/>
      <c r="ES6" s="14"/>
      <c r="ET6" s="16"/>
      <c r="EU6" s="18">
        <f t="shared" si="31"/>
        <v>0</v>
      </c>
      <c r="EV6" s="16"/>
      <c r="EW6" s="19"/>
      <c r="EX6" s="14"/>
      <c r="EY6" s="16"/>
      <c r="EZ6" s="18">
        <f t="shared" si="32"/>
        <v>0</v>
      </c>
      <c r="FA6" s="16"/>
      <c r="FB6" s="19"/>
      <c r="FC6" s="14"/>
      <c r="FD6" s="16"/>
      <c r="FE6" s="18">
        <f t="shared" si="33"/>
        <v>0</v>
      </c>
      <c r="FF6" s="16"/>
      <c r="FG6" s="19"/>
      <c r="FH6" s="14"/>
      <c r="FI6" s="16"/>
      <c r="FJ6" s="18">
        <f t="shared" si="34"/>
        <v>0</v>
      </c>
      <c r="FK6" s="16"/>
      <c r="FL6" s="19"/>
      <c r="FM6" s="14"/>
      <c r="FN6" s="16"/>
      <c r="FO6" s="18">
        <f t="shared" si="35"/>
        <v>0</v>
      </c>
      <c r="FP6" s="16"/>
      <c r="FQ6" s="19"/>
      <c r="FR6" s="14"/>
      <c r="FS6" s="16"/>
      <c r="FT6" s="18">
        <f t="shared" si="36"/>
        <v>0</v>
      </c>
      <c r="FU6" s="16"/>
      <c r="FV6" s="19"/>
      <c r="FW6" s="14"/>
      <c r="FX6" s="16"/>
      <c r="FY6" s="18">
        <f t="shared" si="37"/>
        <v>0</v>
      </c>
      <c r="FZ6" s="16"/>
      <c r="GA6" s="19"/>
      <c r="GB6" s="14"/>
      <c r="GC6" s="16"/>
      <c r="GD6" s="18">
        <f t="shared" si="38"/>
        <v>0</v>
      </c>
      <c r="GE6" s="16"/>
      <c r="GF6" s="19"/>
      <c r="GG6" s="14"/>
      <c r="GH6" s="16"/>
      <c r="GI6" s="18">
        <f t="shared" si="39"/>
        <v>0</v>
      </c>
      <c r="GJ6" s="16"/>
      <c r="GK6" s="19"/>
    </row>
    <row r="7" spans="1:193">
      <c r="A7" s="12">
        <v>4</v>
      </c>
      <c r="B7" s="13">
        <f>[1]项目立项!C27</f>
        <v>0</v>
      </c>
      <c r="C7" s="13">
        <f>[1]项目立项!D27</f>
        <v>0</v>
      </c>
      <c r="D7" s="13">
        <f>[1]项目立项!E27</f>
        <v>0</v>
      </c>
      <c r="E7" s="13">
        <f>[1]项目立项!F27</f>
        <v>0</v>
      </c>
      <c r="F7" s="14"/>
      <c r="G7" s="15">
        <f t="shared" si="0"/>
        <v>0</v>
      </c>
      <c r="H7" s="16"/>
      <c r="I7" s="17"/>
      <c r="J7" s="16"/>
      <c r="K7" s="16">
        <f t="shared" si="1"/>
        <v>0</v>
      </c>
      <c r="L7" s="14"/>
      <c r="M7" s="16"/>
      <c r="N7" s="18">
        <f t="shared" si="2"/>
        <v>0</v>
      </c>
      <c r="O7" s="16"/>
      <c r="P7" s="19"/>
      <c r="Q7" s="14"/>
      <c r="R7" s="16"/>
      <c r="S7" s="18">
        <f t="shared" si="3"/>
        <v>0</v>
      </c>
      <c r="T7" s="16"/>
      <c r="U7" s="19"/>
      <c r="V7" s="14"/>
      <c r="W7" s="16"/>
      <c r="X7" s="18">
        <f t="shared" si="4"/>
        <v>0</v>
      </c>
      <c r="Y7" s="16"/>
      <c r="Z7" s="19"/>
      <c r="AA7" s="14"/>
      <c r="AB7" s="16"/>
      <c r="AC7" s="18">
        <f t="shared" si="5"/>
        <v>0</v>
      </c>
      <c r="AD7" s="16"/>
      <c r="AE7" s="19"/>
      <c r="AF7" s="14"/>
      <c r="AG7" s="16"/>
      <c r="AH7" s="18">
        <f t="shared" si="6"/>
        <v>0</v>
      </c>
      <c r="AI7" s="16"/>
      <c r="AJ7" s="19"/>
      <c r="AK7" s="14"/>
      <c r="AL7" s="16"/>
      <c r="AM7" s="18">
        <f t="shared" si="7"/>
        <v>0</v>
      </c>
      <c r="AN7" s="16"/>
      <c r="AO7" s="19"/>
      <c r="AP7" s="14"/>
      <c r="AQ7" s="16"/>
      <c r="AR7" s="18">
        <f t="shared" si="8"/>
        <v>0</v>
      </c>
      <c r="AS7" s="16"/>
      <c r="AT7" s="19"/>
      <c r="AU7" s="14"/>
      <c r="AV7" s="16"/>
      <c r="AW7" s="18">
        <f t="shared" si="9"/>
        <v>0</v>
      </c>
      <c r="AX7" s="16"/>
      <c r="AY7" s="19"/>
      <c r="AZ7" s="14"/>
      <c r="BA7" s="16"/>
      <c r="BB7" s="18">
        <f t="shared" si="10"/>
        <v>0</v>
      </c>
      <c r="BC7" s="16"/>
      <c r="BD7" s="19"/>
      <c r="BE7" s="14"/>
      <c r="BF7" s="16"/>
      <c r="BG7" s="18">
        <f t="shared" si="11"/>
        <v>0</v>
      </c>
      <c r="BH7" s="16"/>
      <c r="BI7" s="19"/>
      <c r="BJ7" s="14"/>
      <c r="BK7" s="16"/>
      <c r="BL7" s="18">
        <f t="shared" si="12"/>
        <v>0</v>
      </c>
      <c r="BM7" s="16"/>
      <c r="BN7" s="19"/>
      <c r="BO7" s="14"/>
      <c r="BP7" s="16"/>
      <c r="BQ7" s="18">
        <f t="shared" si="13"/>
        <v>0</v>
      </c>
      <c r="BR7" s="16"/>
      <c r="BS7" s="19"/>
      <c r="BT7" s="16">
        <f t="shared" si="14"/>
        <v>0</v>
      </c>
      <c r="BU7" s="14"/>
      <c r="BV7" s="16"/>
      <c r="BW7" s="18">
        <f t="shared" si="15"/>
        <v>0</v>
      </c>
      <c r="BX7" s="16"/>
      <c r="BY7" s="19"/>
      <c r="BZ7" s="14"/>
      <c r="CA7" s="16"/>
      <c r="CB7" s="18">
        <f t="shared" si="16"/>
        <v>0</v>
      </c>
      <c r="CC7" s="16"/>
      <c r="CD7" s="19"/>
      <c r="CE7" s="14"/>
      <c r="CF7" s="16"/>
      <c r="CG7" s="18">
        <f t="shared" si="17"/>
        <v>0</v>
      </c>
      <c r="CH7" s="16"/>
      <c r="CI7" s="19"/>
      <c r="CJ7" s="14"/>
      <c r="CK7" s="16"/>
      <c r="CL7" s="18">
        <f t="shared" si="18"/>
        <v>0</v>
      </c>
      <c r="CM7" s="16"/>
      <c r="CN7" s="19"/>
      <c r="CO7" s="14"/>
      <c r="CP7" s="16"/>
      <c r="CQ7" s="18">
        <f t="shared" si="19"/>
        <v>0</v>
      </c>
      <c r="CR7" s="16"/>
      <c r="CS7" s="19"/>
      <c r="CT7" s="14"/>
      <c r="CU7" s="16"/>
      <c r="CV7" s="18">
        <f t="shared" si="20"/>
        <v>0</v>
      </c>
      <c r="CW7" s="16"/>
      <c r="CX7" s="19"/>
      <c r="CY7" s="14"/>
      <c r="CZ7" s="16"/>
      <c r="DA7" s="18">
        <f t="shared" si="21"/>
        <v>0</v>
      </c>
      <c r="DB7" s="16"/>
      <c r="DC7" s="19"/>
      <c r="DD7" s="14"/>
      <c r="DE7" s="16"/>
      <c r="DF7" s="18">
        <f t="shared" si="22"/>
        <v>0</v>
      </c>
      <c r="DG7" s="16"/>
      <c r="DH7" s="19"/>
      <c r="DI7" s="14"/>
      <c r="DJ7" s="16"/>
      <c r="DK7" s="18">
        <f t="shared" si="23"/>
        <v>0</v>
      </c>
      <c r="DL7" s="16"/>
      <c r="DM7" s="19"/>
      <c r="DN7" s="14"/>
      <c r="DO7" s="16"/>
      <c r="DP7" s="18">
        <f t="shared" si="24"/>
        <v>0</v>
      </c>
      <c r="DQ7" s="16"/>
      <c r="DR7" s="19"/>
      <c r="DS7" s="14"/>
      <c r="DT7" s="16"/>
      <c r="DU7" s="18">
        <f t="shared" si="25"/>
        <v>0</v>
      </c>
      <c r="DV7" s="16"/>
      <c r="DW7" s="19"/>
      <c r="DX7" s="14"/>
      <c r="DY7" s="16"/>
      <c r="DZ7" s="18">
        <f t="shared" si="26"/>
        <v>0</v>
      </c>
      <c r="EA7" s="16"/>
      <c r="EB7" s="19"/>
      <c r="EC7" s="16">
        <f t="shared" si="27"/>
        <v>0</v>
      </c>
      <c r="ED7" s="14"/>
      <c r="EE7" s="16"/>
      <c r="EF7" s="18">
        <f t="shared" si="28"/>
        <v>0</v>
      </c>
      <c r="EG7" s="16"/>
      <c r="EH7" s="19"/>
      <c r="EI7" s="14"/>
      <c r="EJ7" s="16"/>
      <c r="EK7" s="18">
        <f t="shared" si="29"/>
        <v>0</v>
      </c>
      <c r="EL7" s="16"/>
      <c r="EM7" s="19"/>
      <c r="EN7" s="14"/>
      <c r="EO7" s="16"/>
      <c r="EP7" s="18">
        <f t="shared" si="30"/>
        <v>0</v>
      </c>
      <c r="EQ7" s="16"/>
      <c r="ER7" s="19"/>
      <c r="ES7" s="14"/>
      <c r="ET7" s="16"/>
      <c r="EU7" s="18">
        <f t="shared" si="31"/>
        <v>0</v>
      </c>
      <c r="EV7" s="16"/>
      <c r="EW7" s="19"/>
      <c r="EX7" s="14"/>
      <c r="EY7" s="16"/>
      <c r="EZ7" s="18">
        <f t="shared" si="32"/>
        <v>0</v>
      </c>
      <c r="FA7" s="16"/>
      <c r="FB7" s="19"/>
      <c r="FC7" s="14"/>
      <c r="FD7" s="16"/>
      <c r="FE7" s="18">
        <f t="shared" si="33"/>
        <v>0</v>
      </c>
      <c r="FF7" s="16"/>
      <c r="FG7" s="19"/>
      <c r="FH7" s="14"/>
      <c r="FI7" s="16"/>
      <c r="FJ7" s="18">
        <f t="shared" si="34"/>
        <v>0</v>
      </c>
      <c r="FK7" s="16"/>
      <c r="FL7" s="19"/>
      <c r="FM7" s="14"/>
      <c r="FN7" s="16"/>
      <c r="FO7" s="18">
        <f t="shared" si="35"/>
        <v>0</v>
      </c>
      <c r="FP7" s="16"/>
      <c r="FQ7" s="19"/>
      <c r="FR7" s="14"/>
      <c r="FS7" s="16"/>
      <c r="FT7" s="18">
        <f t="shared" si="36"/>
        <v>0</v>
      </c>
      <c r="FU7" s="16"/>
      <c r="FV7" s="19"/>
      <c r="FW7" s="14"/>
      <c r="FX7" s="16"/>
      <c r="FY7" s="18">
        <f t="shared" si="37"/>
        <v>0</v>
      </c>
      <c r="FZ7" s="16"/>
      <c r="GA7" s="19"/>
      <c r="GB7" s="14"/>
      <c r="GC7" s="16"/>
      <c r="GD7" s="18">
        <f t="shared" si="38"/>
        <v>0</v>
      </c>
      <c r="GE7" s="16"/>
      <c r="GF7" s="19"/>
      <c r="GG7" s="14"/>
      <c r="GH7" s="16"/>
      <c r="GI7" s="18">
        <f t="shared" si="39"/>
        <v>0</v>
      </c>
      <c r="GJ7" s="16"/>
      <c r="GK7" s="19"/>
    </row>
    <row r="8" spans="1:193">
      <c r="A8" s="12">
        <v>5</v>
      </c>
      <c r="B8" s="13">
        <f>[1]项目立项!C28</f>
        <v>0</v>
      </c>
      <c r="C8" s="13">
        <f>[1]项目立项!D28</f>
        <v>0</v>
      </c>
      <c r="D8" s="13">
        <f>[1]项目立项!E28</f>
        <v>0</v>
      </c>
      <c r="E8" s="13">
        <f>[1]项目立项!F28</f>
        <v>0</v>
      </c>
      <c r="F8" s="14"/>
      <c r="G8" s="15">
        <f t="shared" si="0"/>
        <v>0</v>
      </c>
      <c r="H8" s="16"/>
      <c r="I8" s="17"/>
      <c r="J8" s="16"/>
      <c r="K8" s="16">
        <f t="shared" si="1"/>
        <v>0</v>
      </c>
      <c r="L8" s="14"/>
      <c r="M8" s="16"/>
      <c r="N8" s="18">
        <f t="shared" si="2"/>
        <v>0</v>
      </c>
      <c r="O8" s="16"/>
      <c r="P8" s="19"/>
      <c r="Q8" s="14"/>
      <c r="R8" s="16"/>
      <c r="S8" s="18">
        <f t="shared" si="3"/>
        <v>0</v>
      </c>
      <c r="T8" s="16"/>
      <c r="U8" s="19"/>
      <c r="V8" s="14"/>
      <c r="W8" s="16"/>
      <c r="X8" s="18">
        <f t="shared" si="4"/>
        <v>0</v>
      </c>
      <c r="Y8" s="16"/>
      <c r="Z8" s="19"/>
      <c r="AA8" s="14"/>
      <c r="AB8" s="16"/>
      <c r="AC8" s="18">
        <f t="shared" si="5"/>
        <v>0</v>
      </c>
      <c r="AD8" s="16"/>
      <c r="AE8" s="19"/>
      <c r="AF8" s="14"/>
      <c r="AG8" s="16"/>
      <c r="AH8" s="18">
        <f t="shared" si="6"/>
        <v>0</v>
      </c>
      <c r="AI8" s="16"/>
      <c r="AJ8" s="19"/>
      <c r="AK8" s="14"/>
      <c r="AL8" s="16"/>
      <c r="AM8" s="18">
        <f t="shared" si="7"/>
        <v>0</v>
      </c>
      <c r="AN8" s="16"/>
      <c r="AO8" s="19"/>
      <c r="AP8" s="14"/>
      <c r="AQ8" s="16"/>
      <c r="AR8" s="18">
        <f t="shared" si="8"/>
        <v>0</v>
      </c>
      <c r="AS8" s="16"/>
      <c r="AT8" s="19"/>
      <c r="AU8" s="14"/>
      <c r="AV8" s="16"/>
      <c r="AW8" s="18">
        <f t="shared" si="9"/>
        <v>0</v>
      </c>
      <c r="AX8" s="16"/>
      <c r="AY8" s="19"/>
      <c r="AZ8" s="14"/>
      <c r="BA8" s="16"/>
      <c r="BB8" s="18">
        <f t="shared" si="10"/>
        <v>0</v>
      </c>
      <c r="BC8" s="16"/>
      <c r="BD8" s="19"/>
      <c r="BE8" s="14"/>
      <c r="BF8" s="16"/>
      <c r="BG8" s="18">
        <f t="shared" si="11"/>
        <v>0</v>
      </c>
      <c r="BH8" s="16"/>
      <c r="BI8" s="19"/>
      <c r="BJ8" s="14"/>
      <c r="BK8" s="16"/>
      <c r="BL8" s="18">
        <f t="shared" si="12"/>
        <v>0</v>
      </c>
      <c r="BM8" s="16"/>
      <c r="BN8" s="19"/>
      <c r="BO8" s="14"/>
      <c r="BP8" s="16"/>
      <c r="BQ8" s="18">
        <f t="shared" si="13"/>
        <v>0</v>
      </c>
      <c r="BR8" s="16"/>
      <c r="BS8" s="19"/>
      <c r="BT8" s="16">
        <f t="shared" si="14"/>
        <v>0</v>
      </c>
      <c r="BU8" s="14"/>
      <c r="BV8" s="16"/>
      <c r="BW8" s="18">
        <f t="shared" si="15"/>
        <v>0</v>
      </c>
      <c r="BX8" s="16"/>
      <c r="BY8" s="19"/>
      <c r="BZ8" s="14"/>
      <c r="CA8" s="16"/>
      <c r="CB8" s="18">
        <f t="shared" si="16"/>
        <v>0</v>
      </c>
      <c r="CC8" s="16"/>
      <c r="CD8" s="19"/>
      <c r="CE8" s="14"/>
      <c r="CF8" s="16"/>
      <c r="CG8" s="18">
        <f t="shared" si="17"/>
        <v>0</v>
      </c>
      <c r="CH8" s="16"/>
      <c r="CI8" s="19"/>
      <c r="CJ8" s="14"/>
      <c r="CK8" s="16"/>
      <c r="CL8" s="18">
        <f t="shared" si="18"/>
        <v>0</v>
      </c>
      <c r="CM8" s="16"/>
      <c r="CN8" s="19"/>
      <c r="CO8" s="14"/>
      <c r="CP8" s="16"/>
      <c r="CQ8" s="18">
        <f t="shared" si="19"/>
        <v>0</v>
      </c>
      <c r="CR8" s="16"/>
      <c r="CS8" s="19"/>
      <c r="CT8" s="14"/>
      <c r="CU8" s="16"/>
      <c r="CV8" s="18">
        <f t="shared" si="20"/>
        <v>0</v>
      </c>
      <c r="CW8" s="16"/>
      <c r="CX8" s="19"/>
      <c r="CY8" s="14"/>
      <c r="CZ8" s="16"/>
      <c r="DA8" s="18">
        <f t="shared" si="21"/>
        <v>0</v>
      </c>
      <c r="DB8" s="16"/>
      <c r="DC8" s="19"/>
      <c r="DD8" s="14"/>
      <c r="DE8" s="16"/>
      <c r="DF8" s="18">
        <f t="shared" si="22"/>
        <v>0</v>
      </c>
      <c r="DG8" s="16"/>
      <c r="DH8" s="19"/>
      <c r="DI8" s="14"/>
      <c r="DJ8" s="16"/>
      <c r="DK8" s="18">
        <f t="shared" si="23"/>
        <v>0</v>
      </c>
      <c r="DL8" s="16"/>
      <c r="DM8" s="19"/>
      <c r="DN8" s="14"/>
      <c r="DO8" s="16"/>
      <c r="DP8" s="18">
        <f t="shared" si="24"/>
        <v>0</v>
      </c>
      <c r="DQ8" s="16"/>
      <c r="DR8" s="19"/>
      <c r="DS8" s="14"/>
      <c r="DT8" s="16"/>
      <c r="DU8" s="18">
        <f t="shared" si="25"/>
        <v>0</v>
      </c>
      <c r="DV8" s="16"/>
      <c r="DW8" s="19"/>
      <c r="DX8" s="14"/>
      <c r="DY8" s="16"/>
      <c r="DZ8" s="18">
        <f t="shared" si="26"/>
        <v>0</v>
      </c>
      <c r="EA8" s="16"/>
      <c r="EB8" s="19"/>
      <c r="EC8" s="16">
        <f t="shared" si="27"/>
        <v>0</v>
      </c>
      <c r="ED8" s="14"/>
      <c r="EE8" s="16"/>
      <c r="EF8" s="18">
        <f t="shared" si="28"/>
        <v>0</v>
      </c>
      <c r="EG8" s="16"/>
      <c r="EH8" s="19"/>
      <c r="EI8" s="14"/>
      <c r="EJ8" s="16"/>
      <c r="EK8" s="18">
        <f t="shared" si="29"/>
        <v>0</v>
      </c>
      <c r="EL8" s="16"/>
      <c r="EM8" s="19"/>
      <c r="EN8" s="14"/>
      <c r="EO8" s="16"/>
      <c r="EP8" s="18">
        <f t="shared" si="30"/>
        <v>0</v>
      </c>
      <c r="EQ8" s="16"/>
      <c r="ER8" s="19"/>
      <c r="ES8" s="14"/>
      <c r="ET8" s="16"/>
      <c r="EU8" s="18">
        <f t="shared" si="31"/>
        <v>0</v>
      </c>
      <c r="EV8" s="16"/>
      <c r="EW8" s="19"/>
      <c r="EX8" s="14"/>
      <c r="EY8" s="16"/>
      <c r="EZ8" s="18">
        <f t="shared" si="32"/>
        <v>0</v>
      </c>
      <c r="FA8" s="16"/>
      <c r="FB8" s="19"/>
      <c r="FC8" s="14"/>
      <c r="FD8" s="16"/>
      <c r="FE8" s="18">
        <f t="shared" si="33"/>
        <v>0</v>
      </c>
      <c r="FF8" s="16"/>
      <c r="FG8" s="19"/>
      <c r="FH8" s="14"/>
      <c r="FI8" s="16"/>
      <c r="FJ8" s="18">
        <f t="shared" si="34"/>
        <v>0</v>
      </c>
      <c r="FK8" s="16"/>
      <c r="FL8" s="19"/>
      <c r="FM8" s="14"/>
      <c r="FN8" s="16"/>
      <c r="FO8" s="18">
        <f t="shared" si="35"/>
        <v>0</v>
      </c>
      <c r="FP8" s="16"/>
      <c r="FQ8" s="19"/>
      <c r="FR8" s="14"/>
      <c r="FS8" s="16"/>
      <c r="FT8" s="18">
        <f t="shared" si="36"/>
        <v>0</v>
      </c>
      <c r="FU8" s="16"/>
      <c r="FV8" s="19"/>
      <c r="FW8" s="14"/>
      <c r="FX8" s="16"/>
      <c r="FY8" s="18">
        <f t="shared" si="37"/>
        <v>0</v>
      </c>
      <c r="FZ8" s="16"/>
      <c r="GA8" s="19"/>
      <c r="GB8" s="14"/>
      <c r="GC8" s="16"/>
      <c r="GD8" s="18">
        <f t="shared" si="38"/>
        <v>0</v>
      </c>
      <c r="GE8" s="16"/>
      <c r="GF8" s="19"/>
      <c r="GG8" s="14"/>
      <c r="GH8" s="16"/>
      <c r="GI8" s="18">
        <f t="shared" si="39"/>
        <v>0</v>
      </c>
      <c r="GJ8" s="16"/>
      <c r="GK8" s="19"/>
    </row>
    <row r="9" spans="1:193">
      <c r="A9" s="12">
        <v>6</v>
      </c>
      <c r="B9" s="13">
        <f>[1]项目立项!C29</f>
        <v>0</v>
      </c>
      <c r="C9" s="13">
        <f>[1]项目立项!D29</f>
        <v>0</v>
      </c>
      <c r="D9" s="13">
        <f>[1]项目立项!E29</f>
        <v>0</v>
      </c>
      <c r="E9" s="13">
        <f>[1]项目立项!F29</f>
        <v>0</v>
      </c>
      <c r="F9" s="14"/>
      <c r="G9" s="15">
        <f t="shared" si="0"/>
        <v>0</v>
      </c>
      <c r="H9" s="16"/>
      <c r="I9" s="17"/>
      <c r="J9" s="16"/>
      <c r="K9" s="16">
        <f t="shared" si="1"/>
        <v>0</v>
      </c>
      <c r="L9" s="14"/>
      <c r="M9" s="16"/>
      <c r="N9" s="18">
        <f t="shared" si="2"/>
        <v>0</v>
      </c>
      <c r="O9" s="16"/>
      <c r="P9" s="19"/>
      <c r="Q9" s="14"/>
      <c r="R9" s="16"/>
      <c r="S9" s="18">
        <f t="shared" si="3"/>
        <v>0</v>
      </c>
      <c r="T9" s="16"/>
      <c r="U9" s="19"/>
      <c r="V9" s="14"/>
      <c r="W9" s="16"/>
      <c r="X9" s="18">
        <f t="shared" si="4"/>
        <v>0</v>
      </c>
      <c r="Y9" s="16"/>
      <c r="Z9" s="19"/>
      <c r="AA9" s="14"/>
      <c r="AB9" s="16"/>
      <c r="AC9" s="18">
        <f t="shared" si="5"/>
        <v>0</v>
      </c>
      <c r="AD9" s="16"/>
      <c r="AE9" s="19"/>
      <c r="AF9" s="14"/>
      <c r="AG9" s="16"/>
      <c r="AH9" s="18">
        <f t="shared" si="6"/>
        <v>0</v>
      </c>
      <c r="AI9" s="16"/>
      <c r="AJ9" s="19"/>
      <c r="AK9" s="14"/>
      <c r="AL9" s="16"/>
      <c r="AM9" s="18">
        <f t="shared" si="7"/>
        <v>0</v>
      </c>
      <c r="AN9" s="16"/>
      <c r="AO9" s="19"/>
      <c r="AP9" s="14"/>
      <c r="AQ9" s="16"/>
      <c r="AR9" s="18">
        <f t="shared" si="8"/>
        <v>0</v>
      </c>
      <c r="AS9" s="16"/>
      <c r="AT9" s="19"/>
      <c r="AU9" s="14"/>
      <c r="AV9" s="16"/>
      <c r="AW9" s="18">
        <f t="shared" si="9"/>
        <v>0</v>
      </c>
      <c r="AX9" s="16"/>
      <c r="AY9" s="19"/>
      <c r="AZ9" s="14"/>
      <c r="BA9" s="16"/>
      <c r="BB9" s="18">
        <f t="shared" si="10"/>
        <v>0</v>
      </c>
      <c r="BC9" s="16"/>
      <c r="BD9" s="19"/>
      <c r="BE9" s="14"/>
      <c r="BF9" s="16"/>
      <c r="BG9" s="18">
        <f t="shared" si="11"/>
        <v>0</v>
      </c>
      <c r="BH9" s="16"/>
      <c r="BI9" s="19"/>
      <c r="BJ9" s="14"/>
      <c r="BK9" s="16"/>
      <c r="BL9" s="18">
        <f t="shared" si="12"/>
        <v>0</v>
      </c>
      <c r="BM9" s="16"/>
      <c r="BN9" s="19"/>
      <c r="BO9" s="14"/>
      <c r="BP9" s="16"/>
      <c r="BQ9" s="18">
        <f t="shared" si="13"/>
        <v>0</v>
      </c>
      <c r="BR9" s="16"/>
      <c r="BS9" s="19"/>
      <c r="BT9" s="16">
        <f t="shared" si="14"/>
        <v>0</v>
      </c>
      <c r="BU9" s="14"/>
      <c r="BV9" s="16"/>
      <c r="BW9" s="18">
        <f t="shared" si="15"/>
        <v>0</v>
      </c>
      <c r="BX9" s="16"/>
      <c r="BY9" s="19"/>
      <c r="BZ9" s="14"/>
      <c r="CA9" s="16"/>
      <c r="CB9" s="18">
        <f t="shared" si="16"/>
        <v>0</v>
      </c>
      <c r="CC9" s="16"/>
      <c r="CD9" s="19"/>
      <c r="CE9" s="14"/>
      <c r="CF9" s="16"/>
      <c r="CG9" s="18">
        <f t="shared" si="17"/>
        <v>0</v>
      </c>
      <c r="CH9" s="16"/>
      <c r="CI9" s="19"/>
      <c r="CJ9" s="14"/>
      <c r="CK9" s="16"/>
      <c r="CL9" s="18">
        <f t="shared" si="18"/>
        <v>0</v>
      </c>
      <c r="CM9" s="16"/>
      <c r="CN9" s="19"/>
      <c r="CO9" s="14"/>
      <c r="CP9" s="16"/>
      <c r="CQ9" s="18">
        <f t="shared" si="19"/>
        <v>0</v>
      </c>
      <c r="CR9" s="16"/>
      <c r="CS9" s="19"/>
      <c r="CT9" s="14"/>
      <c r="CU9" s="16"/>
      <c r="CV9" s="18">
        <f t="shared" si="20"/>
        <v>0</v>
      </c>
      <c r="CW9" s="16"/>
      <c r="CX9" s="19"/>
      <c r="CY9" s="14"/>
      <c r="CZ9" s="16"/>
      <c r="DA9" s="18">
        <f t="shared" si="21"/>
        <v>0</v>
      </c>
      <c r="DB9" s="16"/>
      <c r="DC9" s="19"/>
      <c r="DD9" s="14"/>
      <c r="DE9" s="16"/>
      <c r="DF9" s="18">
        <f t="shared" si="22"/>
        <v>0</v>
      </c>
      <c r="DG9" s="16"/>
      <c r="DH9" s="19"/>
      <c r="DI9" s="14"/>
      <c r="DJ9" s="16"/>
      <c r="DK9" s="18">
        <f t="shared" si="23"/>
        <v>0</v>
      </c>
      <c r="DL9" s="16"/>
      <c r="DM9" s="19"/>
      <c r="DN9" s="14"/>
      <c r="DO9" s="16"/>
      <c r="DP9" s="18">
        <f t="shared" si="24"/>
        <v>0</v>
      </c>
      <c r="DQ9" s="16"/>
      <c r="DR9" s="19"/>
      <c r="DS9" s="14"/>
      <c r="DT9" s="16"/>
      <c r="DU9" s="18">
        <f t="shared" si="25"/>
        <v>0</v>
      </c>
      <c r="DV9" s="16"/>
      <c r="DW9" s="19"/>
      <c r="DX9" s="14"/>
      <c r="DY9" s="16"/>
      <c r="DZ9" s="18">
        <f t="shared" si="26"/>
        <v>0</v>
      </c>
      <c r="EA9" s="16"/>
      <c r="EB9" s="19"/>
      <c r="EC9" s="16">
        <f t="shared" si="27"/>
        <v>0</v>
      </c>
      <c r="ED9" s="14"/>
      <c r="EE9" s="16"/>
      <c r="EF9" s="18">
        <f t="shared" si="28"/>
        <v>0</v>
      </c>
      <c r="EG9" s="16"/>
      <c r="EH9" s="19"/>
      <c r="EI9" s="14"/>
      <c r="EJ9" s="16"/>
      <c r="EK9" s="18">
        <f t="shared" si="29"/>
        <v>0</v>
      </c>
      <c r="EL9" s="16"/>
      <c r="EM9" s="19"/>
      <c r="EN9" s="14"/>
      <c r="EO9" s="16"/>
      <c r="EP9" s="18">
        <f t="shared" si="30"/>
        <v>0</v>
      </c>
      <c r="EQ9" s="16"/>
      <c r="ER9" s="19"/>
      <c r="ES9" s="14"/>
      <c r="ET9" s="16"/>
      <c r="EU9" s="18">
        <f t="shared" si="31"/>
        <v>0</v>
      </c>
      <c r="EV9" s="16"/>
      <c r="EW9" s="19"/>
      <c r="EX9" s="14"/>
      <c r="EY9" s="16"/>
      <c r="EZ9" s="18">
        <f t="shared" si="32"/>
        <v>0</v>
      </c>
      <c r="FA9" s="16"/>
      <c r="FB9" s="19"/>
      <c r="FC9" s="14"/>
      <c r="FD9" s="16"/>
      <c r="FE9" s="18">
        <f t="shared" si="33"/>
        <v>0</v>
      </c>
      <c r="FF9" s="16"/>
      <c r="FG9" s="19"/>
      <c r="FH9" s="14"/>
      <c r="FI9" s="16"/>
      <c r="FJ9" s="18">
        <f t="shared" si="34"/>
        <v>0</v>
      </c>
      <c r="FK9" s="16"/>
      <c r="FL9" s="19"/>
      <c r="FM9" s="14"/>
      <c r="FN9" s="16"/>
      <c r="FO9" s="18">
        <f t="shared" si="35"/>
        <v>0</v>
      </c>
      <c r="FP9" s="16"/>
      <c r="FQ9" s="19"/>
      <c r="FR9" s="14"/>
      <c r="FS9" s="16"/>
      <c r="FT9" s="18">
        <f t="shared" si="36"/>
        <v>0</v>
      </c>
      <c r="FU9" s="16"/>
      <c r="FV9" s="19"/>
      <c r="FW9" s="14"/>
      <c r="FX9" s="16"/>
      <c r="FY9" s="18">
        <f t="shared" si="37"/>
        <v>0</v>
      </c>
      <c r="FZ9" s="16"/>
      <c r="GA9" s="19"/>
      <c r="GB9" s="14"/>
      <c r="GC9" s="16"/>
      <c r="GD9" s="18">
        <f t="shared" si="38"/>
        <v>0</v>
      </c>
      <c r="GE9" s="16"/>
      <c r="GF9" s="19"/>
      <c r="GG9" s="14"/>
      <c r="GH9" s="16"/>
      <c r="GI9" s="18">
        <f t="shared" si="39"/>
        <v>0</v>
      </c>
      <c r="GJ9" s="16"/>
      <c r="GK9" s="19"/>
    </row>
    <row r="10" spans="1:193">
      <c r="A10" s="12">
        <v>7</v>
      </c>
      <c r="B10" s="13">
        <f>[1]项目立项!C30</f>
        <v>0</v>
      </c>
      <c r="C10" s="13">
        <f>[1]项目立项!D30</f>
        <v>0</v>
      </c>
      <c r="D10" s="13">
        <f>[1]项目立项!E30</f>
        <v>0</v>
      </c>
      <c r="E10" s="13">
        <f>[1]项目立项!F30</f>
        <v>0</v>
      </c>
      <c r="F10" s="14"/>
      <c r="G10" s="15">
        <f t="shared" si="0"/>
        <v>0</v>
      </c>
      <c r="H10" s="16"/>
      <c r="I10" s="17"/>
      <c r="J10" s="16"/>
      <c r="K10" s="16">
        <f t="shared" si="1"/>
        <v>0</v>
      </c>
      <c r="L10" s="14"/>
      <c r="M10" s="16"/>
      <c r="N10" s="18">
        <f t="shared" si="2"/>
        <v>0</v>
      </c>
      <c r="O10" s="16"/>
      <c r="P10" s="19"/>
      <c r="Q10" s="14"/>
      <c r="R10" s="16"/>
      <c r="S10" s="18">
        <f t="shared" si="3"/>
        <v>0</v>
      </c>
      <c r="T10" s="16"/>
      <c r="U10" s="19"/>
      <c r="V10" s="14"/>
      <c r="W10" s="16"/>
      <c r="X10" s="18">
        <f t="shared" si="4"/>
        <v>0</v>
      </c>
      <c r="Y10" s="16"/>
      <c r="Z10" s="19"/>
      <c r="AA10" s="14"/>
      <c r="AB10" s="16"/>
      <c r="AC10" s="18">
        <f t="shared" si="5"/>
        <v>0</v>
      </c>
      <c r="AD10" s="16"/>
      <c r="AE10" s="19"/>
      <c r="AF10" s="14"/>
      <c r="AG10" s="16"/>
      <c r="AH10" s="18">
        <f t="shared" si="6"/>
        <v>0</v>
      </c>
      <c r="AI10" s="16"/>
      <c r="AJ10" s="19"/>
      <c r="AK10" s="14"/>
      <c r="AL10" s="16"/>
      <c r="AM10" s="18">
        <f t="shared" si="7"/>
        <v>0</v>
      </c>
      <c r="AN10" s="16"/>
      <c r="AO10" s="19"/>
      <c r="AP10" s="14"/>
      <c r="AQ10" s="16"/>
      <c r="AR10" s="18">
        <f t="shared" si="8"/>
        <v>0</v>
      </c>
      <c r="AS10" s="16"/>
      <c r="AT10" s="19"/>
      <c r="AU10" s="14"/>
      <c r="AV10" s="16"/>
      <c r="AW10" s="18">
        <f t="shared" si="9"/>
        <v>0</v>
      </c>
      <c r="AX10" s="16"/>
      <c r="AY10" s="19"/>
      <c r="AZ10" s="14"/>
      <c r="BA10" s="16"/>
      <c r="BB10" s="18">
        <f t="shared" si="10"/>
        <v>0</v>
      </c>
      <c r="BC10" s="16"/>
      <c r="BD10" s="19"/>
      <c r="BE10" s="14"/>
      <c r="BF10" s="16"/>
      <c r="BG10" s="18">
        <f t="shared" si="11"/>
        <v>0</v>
      </c>
      <c r="BH10" s="16"/>
      <c r="BI10" s="19"/>
      <c r="BJ10" s="14"/>
      <c r="BK10" s="16"/>
      <c r="BL10" s="18">
        <f t="shared" si="12"/>
        <v>0</v>
      </c>
      <c r="BM10" s="16"/>
      <c r="BN10" s="19"/>
      <c r="BO10" s="14"/>
      <c r="BP10" s="16"/>
      <c r="BQ10" s="18">
        <f t="shared" si="13"/>
        <v>0</v>
      </c>
      <c r="BR10" s="16"/>
      <c r="BS10" s="19"/>
      <c r="BT10" s="16">
        <f t="shared" si="14"/>
        <v>0</v>
      </c>
      <c r="BU10" s="14"/>
      <c r="BV10" s="16"/>
      <c r="BW10" s="18">
        <f t="shared" si="15"/>
        <v>0</v>
      </c>
      <c r="BX10" s="16"/>
      <c r="BY10" s="19"/>
      <c r="BZ10" s="14"/>
      <c r="CA10" s="16"/>
      <c r="CB10" s="18">
        <f t="shared" si="16"/>
        <v>0</v>
      </c>
      <c r="CC10" s="16"/>
      <c r="CD10" s="19"/>
      <c r="CE10" s="14"/>
      <c r="CF10" s="16"/>
      <c r="CG10" s="18">
        <f t="shared" si="17"/>
        <v>0</v>
      </c>
      <c r="CH10" s="16"/>
      <c r="CI10" s="19"/>
      <c r="CJ10" s="14"/>
      <c r="CK10" s="16"/>
      <c r="CL10" s="18">
        <f t="shared" si="18"/>
        <v>0</v>
      </c>
      <c r="CM10" s="16"/>
      <c r="CN10" s="19"/>
      <c r="CO10" s="14"/>
      <c r="CP10" s="16"/>
      <c r="CQ10" s="18">
        <f t="shared" si="19"/>
        <v>0</v>
      </c>
      <c r="CR10" s="16"/>
      <c r="CS10" s="19"/>
      <c r="CT10" s="14"/>
      <c r="CU10" s="16"/>
      <c r="CV10" s="18">
        <f t="shared" si="20"/>
        <v>0</v>
      </c>
      <c r="CW10" s="16"/>
      <c r="CX10" s="19"/>
      <c r="CY10" s="14"/>
      <c r="CZ10" s="16"/>
      <c r="DA10" s="18">
        <f t="shared" si="21"/>
        <v>0</v>
      </c>
      <c r="DB10" s="16"/>
      <c r="DC10" s="19"/>
      <c r="DD10" s="14"/>
      <c r="DE10" s="16"/>
      <c r="DF10" s="18">
        <f t="shared" si="22"/>
        <v>0</v>
      </c>
      <c r="DG10" s="16"/>
      <c r="DH10" s="19"/>
      <c r="DI10" s="14"/>
      <c r="DJ10" s="16"/>
      <c r="DK10" s="18">
        <f t="shared" si="23"/>
        <v>0</v>
      </c>
      <c r="DL10" s="16"/>
      <c r="DM10" s="19"/>
      <c r="DN10" s="14"/>
      <c r="DO10" s="16"/>
      <c r="DP10" s="18">
        <f t="shared" si="24"/>
        <v>0</v>
      </c>
      <c r="DQ10" s="16"/>
      <c r="DR10" s="19"/>
      <c r="DS10" s="14"/>
      <c r="DT10" s="16"/>
      <c r="DU10" s="18">
        <f t="shared" si="25"/>
        <v>0</v>
      </c>
      <c r="DV10" s="16"/>
      <c r="DW10" s="19"/>
      <c r="DX10" s="14"/>
      <c r="DY10" s="16"/>
      <c r="DZ10" s="18">
        <f t="shared" si="26"/>
        <v>0</v>
      </c>
      <c r="EA10" s="16"/>
      <c r="EB10" s="19"/>
      <c r="EC10" s="16">
        <f t="shared" si="27"/>
        <v>0</v>
      </c>
      <c r="ED10" s="14"/>
      <c r="EE10" s="16"/>
      <c r="EF10" s="18">
        <f t="shared" si="28"/>
        <v>0</v>
      </c>
      <c r="EG10" s="16"/>
      <c r="EH10" s="19"/>
      <c r="EI10" s="14"/>
      <c r="EJ10" s="16"/>
      <c r="EK10" s="18">
        <f t="shared" si="29"/>
        <v>0</v>
      </c>
      <c r="EL10" s="16"/>
      <c r="EM10" s="19"/>
      <c r="EN10" s="14"/>
      <c r="EO10" s="16"/>
      <c r="EP10" s="18">
        <f t="shared" si="30"/>
        <v>0</v>
      </c>
      <c r="EQ10" s="16"/>
      <c r="ER10" s="19"/>
      <c r="ES10" s="14"/>
      <c r="ET10" s="16"/>
      <c r="EU10" s="18">
        <f t="shared" si="31"/>
        <v>0</v>
      </c>
      <c r="EV10" s="16"/>
      <c r="EW10" s="19"/>
      <c r="EX10" s="14"/>
      <c r="EY10" s="16"/>
      <c r="EZ10" s="18">
        <f t="shared" si="32"/>
        <v>0</v>
      </c>
      <c r="FA10" s="16"/>
      <c r="FB10" s="19"/>
      <c r="FC10" s="14"/>
      <c r="FD10" s="16"/>
      <c r="FE10" s="18">
        <f t="shared" si="33"/>
        <v>0</v>
      </c>
      <c r="FF10" s="16"/>
      <c r="FG10" s="19"/>
      <c r="FH10" s="14"/>
      <c r="FI10" s="16"/>
      <c r="FJ10" s="18">
        <f t="shared" si="34"/>
        <v>0</v>
      </c>
      <c r="FK10" s="16"/>
      <c r="FL10" s="19"/>
      <c r="FM10" s="14"/>
      <c r="FN10" s="16"/>
      <c r="FO10" s="18">
        <f t="shared" si="35"/>
        <v>0</v>
      </c>
      <c r="FP10" s="16"/>
      <c r="FQ10" s="19"/>
      <c r="FR10" s="14"/>
      <c r="FS10" s="16"/>
      <c r="FT10" s="18">
        <f t="shared" si="36"/>
        <v>0</v>
      </c>
      <c r="FU10" s="16"/>
      <c r="FV10" s="19"/>
      <c r="FW10" s="14"/>
      <c r="FX10" s="16"/>
      <c r="FY10" s="18">
        <f t="shared" si="37"/>
        <v>0</v>
      </c>
      <c r="FZ10" s="16"/>
      <c r="GA10" s="19"/>
      <c r="GB10" s="14"/>
      <c r="GC10" s="16"/>
      <c r="GD10" s="18">
        <f t="shared" si="38"/>
        <v>0</v>
      </c>
      <c r="GE10" s="16"/>
      <c r="GF10" s="19"/>
      <c r="GG10" s="14"/>
      <c r="GH10" s="16"/>
      <c r="GI10" s="18">
        <f t="shared" si="39"/>
        <v>0</v>
      </c>
      <c r="GJ10" s="16"/>
      <c r="GK10" s="19"/>
    </row>
    <row r="11" spans="1:193">
      <c r="A11" s="12">
        <v>8</v>
      </c>
      <c r="B11" s="13">
        <f>[1]项目立项!C31</f>
        <v>0</v>
      </c>
      <c r="C11" s="13">
        <f>[1]项目立项!D31</f>
        <v>0</v>
      </c>
      <c r="D11" s="13">
        <f>[1]项目立项!E31</f>
        <v>0</v>
      </c>
      <c r="E11" s="13">
        <f>[1]项目立项!F31</f>
        <v>0</v>
      </c>
      <c r="F11" s="14"/>
      <c r="G11" s="15">
        <f t="shared" si="0"/>
        <v>0</v>
      </c>
      <c r="H11" s="16"/>
      <c r="I11" s="17"/>
      <c r="J11" s="16"/>
      <c r="K11" s="16">
        <f t="shared" si="1"/>
        <v>0</v>
      </c>
      <c r="L11" s="14"/>
      <c r="M11" s="16"/>
      <c r="N11" s="18">
        <f t="shared" si="2"/>
        <v>0</v>
      </c>
      <c r="O11" s="16"/>
      <c r="P11" s="19"/>
      <c r="Q11" s="14"/>
      <c r="R11" s="16"/>
      <c r="S11" s="18">
        <f t="shared" si="3"/>
        <v>0</v>
      </c>
      <c r="T11" s="16"/>
      <c r="U11" s="19"/>
      <c r="V11" s="14"/>
      <c r="W11" s="16"/>
      <c r="X11" s="18">
        <f t="shared" si="4"/>
        <v>0</v>
      </c>
      <c r="Y11" s="16"/>
      <c r="Z11" s="19"/>
      <c r="AA11" s="14"/>
      <c r="AB11" s="16"/>
      <c r="AC11" s="18">
        <f t="shared" si="5"/>
        <v>0</v>
      </c>
      <c r="AD11" s="16"/>
      <c r="AE11" s="19"/>
      <c r="AF11" s="14"/>
      <c r="AG11" s="16"/>
      <c r="AH11" s="18">
        <f t="shared" si="6"/>
        <v>0</v>
      </c>
      <c r="AI11" s="16"/>
      <c r="AJ11" s="19"/>
      <c r="AK11" s="14"/>
      <c r="AL11" s="16"/>
      <c r="AM11" s="18">
        <f t="shared" si="7"/>
        <v>0</v>
      </c>
      <c r="AN11" s="16"/>
      <c r="AO11" s="19"/>
      <c r="AP11" s="14"/>
      <c r="AQ11" s="16"/>
      <c r="AR11" s="18">
        <f t="shared" si="8"/>
        <v>0</v>
      </c>
      <c r="AS11" s="16"/>
      <c r="AT11" s="19"/>
      <c r="AU11" s="14"/>
      <c r="AV11" s="16"/>
      <c r="AW11" s="18">
        <f t="shared" si="9"/>
        <v>0</v>
      </c>
      <c r="AX11" s="16"/>
      <c r="AY11" s="19"/>
      <c r="AZ11" s="14"/>
      <c r="BA11" s="16"/>
      <c r="BB11" s="18">
        <f t="shared" si="10"/>
        <v>0</v>
      </c>
      <c r="BC11" s="16"/>
      <c r="BD11" s="19"/>
      <c r="BE11" s="14"/>
      <c r="BF11" s="16"/>
      <c r="BG11" s="18">
        <f t="shared" si="11"/>
        <v>0</v>
      </c>
      <c r="BH11" s="16"/>
      <c r="BI11" s="19"/>
      <c r="BJ11" s="14"/>
      <c r="BK11" s="16"/>
      <c r="BL11" s="18">
        <f t="shared" si="12"/>
        <v>0</v>
      </c>
      <c r="BM11" s="16"/>
      <c r="BN11" s="19"/>
      <c r="BO11" s="14"/>
      <c r="BP11" s="16"/>
      <c r="BQ11" s="18">
        <f t="shared" si="13"/>
        <v>0</v>
      </c>
      <c r="BR11" s="16"/>
      <c r="BS11" s="19"/>
      <c r="BT11" s="16">
        <f t="shared" si="14"/>
        <v>0</v>
      </c>
      <c r="BU11" s="14"/>
      <c r="BV11" s="16"/>
      <c r="BW11" s="18">
        <f t="shared" si="15"/>
        <v>0</v>
      </c>
      <c r="BX11" s="16"/>
      <c r="BY11" s="19"/>
      <c r="BZ11" s="14"/>
      <c r="CA11" s="16"/>
      <c r="CB11" s="18">
        <f t="shared" si="16"/>
        <v>0</v>
      </c>
      <c r="CC11" s="16"/>
      <c r="CD11" s="19"/>
      <c r="CE11" s="14"/>
      <c r="CF11" s="16"/>
      <c r="CG11" s="18">
        <f t="shared" si="17"/>
        <v>0</v>
      </c>
      <c r="CH11" s="16"/>
      <c r="CI11" s="19"/>
      <c r="CJ11" s="14"/>
      <c r="CK11" s="16"/>
      <c r="CL11" s="18">
        <f t="shared" si="18"/>
        <v>0</v>
      </c>
      <c r="CM11" s="16"/>
      <c r="CN11" s="19"/>
      <c r="CO11" s="14"/>
      <c r="CP11" s="16"/>
      <c r="CQ11" s="18">
        <f t="shared" si="19"/>
        <v>0</v>
      </c>
      <c r="CR11" s="16"/>
      <c r="CS11" s="19"/>
      <c r="CT11" s="14"/>
      <c r="CU11" s="16"/>
      <c r="CV11" s="18">
        <f t="shared" si="20"/>
        <v>0</v>
      </c>
      <c r="CW11" s="16"/>
      <c r="CX11" s="19"/>
      <c r="CY11" s="14"/>
      <c r="CZ11" s="16"/>
      <c r="DA11" s="18">
        <f t="shared" si="21"/>
        <v>0</v>
      </c>
      <c r="DB11" s="16"/>
      <c r="DC11" s="19"/>
      <c r="DD11" s="14"/>
      <c r="DE11" s="16"/>
      <c r="DF11" s="18">
        <f t="shared" si="22"/>
        <v>0</v>
      </c>
      <c r="DG11" s="16"/>
      <c r="DH11" s="19"/>
      <c r="DI11" s="14"/>
      <c r="DJ11" s="16"/>
      <c r="DK11" s="18">
        <f t="shared" si="23"/>
        <v>0</v>
      </c>
      <c r="DL11" s="16"/>
      <c r="DM11" s="19"/>
      <c r="DN11" s="14"/>
      <c r="DO11" s="16"/>
      <c r="DP11" s="18">
        <f t="shared" si="24"/>
        <v>0</v>
      </c>
      <c r="DQ11" s="16"/>
      <c r="DR11" s="19"/>
      <c r="DS11" s="14"/>
      <c r="DT11" s="16"/>
      <c r="DU11" s="18">
        <f t="shared" si="25"/>
        <v>0</v>
      </c>
      <c r="DV11" s="16"/>
      <c r="DW11" s="19"/>
      <c r="DX11" s="14"/>
      <c r="DY11" s="16"/>
      <c r="DZ11" s="18">
        <f t="shared" si="26"/>
        <v>0</v>
      </c>
      <c r="EA11" s="16"/>
      <c r="EB11" s="19"/>
      <c r="EC11" s="16">
        <f t="shared" si="27"/>
        <v>0</v>
      </c>
      <c r="ED11" s="14"/>
      <c r="EE11" s="16"/>
      <c r="EF11" s="18">
        <f t="shared" si="28"/>
        <v>0</v>
      </c>
      <c r="EG11" s="16"/>
      <c r="EH11" s="19"/>
      <c r="EI11" s="14"/>
      <c r="EJ11" s="16"/>
      <c r="EK11" s="18">
        <f t="shared" si="29"/>
        <v>0</v>
      </c>
      <c r="EL11" s="16"/>
      <c r="EM11" s="19"/>
      <c r="EN11" s="14"/>
      <c r="EO11" s="16"/>
      <c r="EP11" s="18">
        <f t="shared" si="30"/>
        <v>0</v>
      </c>
      <c r="EQ11" s="16"/>
      <c r="ER11" s="19"/>
      <c r="ES11" s="14"/>
      <c r="ET11" s="16"/>
      <c r="EU11" s="18">
        <f t="shared" si="31"/>
        <v>0</v>
      </c>
      <c r="EV11" s="16"/>
      <c r="EW11" s="19"/>
      <c r="EX11" s="14"/>
      <c r="EY11" s="16"/>
      <c r="EZ11" s="18">
        <f t="shared" si="32"/>
        <v>0</v>
      </c>
      <c r="FA11" s="16"/>
      <c r="FB11" s="19"/>
      <c r="FC11" s="14"/>
      <c r="FD11" s="16"/>
      <c r="FE11" s="18">
        <f t="shared" si="33"/>
        <v>0</v>
      </c>
      <c r="FF11" s="16"/>
      <c r="FG11" s="19"/>
      <c r="FH11" s="14"/>
      <c r="FI11" s="16"/>
      <c r="FJ11" s="18">
        <f t="shared" si="34"/>
        <v>0</v>
      </c>
      <c r="FK11" s="16"/>
      <c r="FL11" s="19"/>
      <c r="FM11" s="14"/>
      <c r="FN11" s="16"/>
      <c r="FO11" s="18">
        <f t="shared" si="35"/>
        <v>0</v>
      </c>
      <c r="FP11" s="16"/>
      <c r="FQ11" s="19"/>
      <c r="FR11" s="14"/>
      <c r="FS11" s="16"/>
      <c r="FT11" s="18">
        <f t="shared" si="36"/>
        <v>0</v>
      </c>
      <c r="FU11" s="16"/>
      <c r="FV11" s="19"/>
      <c r="FW11" s="14"/>
      <c r="FX11" s="16"/>
      <c r="FY11" s="18">
        <f t="shared" si="37"/>
        <v>0</v>
      </c>
      <c r="FZ11" s="16"/>
      <c r="GA11" s="19"/>
      <c r="GB11" s="14"/>
      <c r="GC11" s="16"/>
      <c r="GD11" s="18">
        <f t="shared" si="38"/>
        <v>0</v>
      </c>
      <c r="GE11" s="16"/>
      <c r="GF11" s="19"/>
      <c r="GG11" s="14"/>
      <c r="GH11" s="16"/>
      <c r="GI11" s="18">
        <f t="shared" si="39"/>
        <v>0</v>
      </c>
      <c r="GJ11" s="16"/>
      <c r="GK11" s="19"/>
    </row>
    <row r="12" spans="1:193">
      <c r="A12" s="12">
        <v>9</v>
      </c>
      <c r="B12" s="13">
        <f>[1]项目立项!C32</f>
        <v>0</v>
      </c>
      <c r="C12" s="13">
        <f>[1]项目立项!D32</f>
        <v>0</v>
      </c>
      <c r="D12" s="13">
        <f>[1]项目立项!E32</f>
        <v>0</v>
      </c>
      <c r="E12" s="13">
        <f>[1]项目立项!F32</f>
        <v>0</v>
      </c>
      <c r="F12" s="14"/>
      <c r="G12" s="15">
        <f t="shared" si="0"/>
        <v>0</v>
      </c>
      <c r="H12" s="16"/>
      <c r="I12" s="17"/>
      <c r="J12" s="16"/>
      <c r="K12" s="16">
        <f t="shared" si="1"/>
        <v>0</v>
      </c>
      <c r="L12" s="14"/>
      <c r="M12" s="16"/>
      <c r="N12" s="18">
        <f t="shared" si="2"/>
        <v>0</v>
      </c>
      <c r="O12" s="16"/>
      <c r="P12" s="19"/>
      <c r="Q12" s="14"/>
      <c r="R12" s="16"/>
      <c r="S12" s="18">
        <f t="shared" si="3"/>
        <v>0</v>
      </c>
      <c r="T12" s="16"/>
      <c r="U12" s="19"/>
      <c r="V12" s="14"/>
      <c r="W12" s="16"/>
      <c r="X12" s="18">
        <f t="shared" si="4"/>
        <v>0</v>
      </c>
      <c r="Y12" s="16"/>
      <c r="Z12" s="19"/>
      <c r="AA12" s="14"/>
      <c r="AB12" s="16"/>
      <c r="AC12" s="18">
        <f t="shared" si="5"/>
        <v>0</v>
      </c>
      <c r="AD12" s="16"/>
      <c r="AE12" s="19"/>
      <c r="AF12" s="14"/>
      <c r="AG12" s="16"/>
      <c r="AH12" s="18">
        <f t="shared" si="6"/>
        <v>0</v>
      </c>
      <c r="AI12" s="16"/>
      <c r="AJ12" s="19"/>
      <c r="AK12" s="14"/>
      <c r="AL12" s="16"/>
      <c r="AM12" s="18">
        <f t="shared" si="7"/>
        <v>0</v>
      </c>
      <c r="AN12" s="16"/>
      <c r="AO12" s="19"/>
      <c r="AP12" s="14"/>
      <c r="AQ12" s="16"/>
      <c r="AR12" s="18">
        <f t="shared" si="8"/>
        <v>0</v>
      </c>
      <c r="AS12" s="16"/>
      <c r="AT12" s="19"/>
      <c r="AU12" s="14"/>
      <c r="AV12" s="16"/>
      <c r="AW12" s="18">
        <f t="shared" si="9"/>
        <v>0</v>
      </c>
      <c r="AX12" s="16"/>
      <c r="AY12" s="19"/>
      <c r="AZ12" s="14"/>
      <c r="BA12" s="16"/>
      <c r="BB12" s="18">
        <f t="shared" si="10"/>
        <v>0</v>
      </c>
      <c r="BC12" s="16"/>
      <c r="BD12" s="19"/>
      <c r="BE12" s="14"/>
      <c r="BF12" s="16"/>
      <c r="BG12" s="18">
        <f t="shared" si="11"/>
        <v>0</v>
      </c>
      <c r="BH12" s="16"/>
      <c r="BI12" s="19"/>
      <c r="BJ12" s="14"/>
      <c r="BK12" s="16"/>
      <c r="BL12" s="18">
        <f t="shared" si="12"/>
        <v>0</v>
      </c>
      <c r="BM12" s="16"/>
      <c r="BN12" s="19"/>
      <c r="BO12" s="14"/>
      <c r="BP12" s="16"/>
      <c r="BQ12" s="18">
        <f t="shared" si="13"/>
        <v>0</v>
      </c>
      <c r="BR12" s="16"/>
      <c r="BS12" s="19"/>
      <c r="BT12" s="16">
        <f t="shared" si="14"/>
        <v>0</v>
      </c>
      <c r="BU12" s="14"/>
      <c r="BV12" s="16"/>
      <c r="BW12" s="18">
        <f t="shared" si="15"/>
        <v>0</v>
      </c>
      <c r="BX12" s="16"/>
      <c r="BY12" s="19"/>
      <c r="BZ12" s="14"/>
      <c r="CA12" s="16"/>
      <c r="CB12" s="18">
        <f t="shared" si="16"/>
        <v>0</v>
      </c>
      <c r="CC12" s="16"/>
      <c r="CD12" s="19"/>
      <c r="CE12" s="14"/>
      <c r="CF12" s="16"/>
      <c r="CG12" s="18">
        <f t="shared" si="17"/>
        <v>0</v>
      </c>
      <c r="CH12" s="16"/>
      <c r="CI12" s="19"/>
      <c r="CJ12" s="14"/>
      <c r="CK12" s="16"/>
      <c r="CL12" s="18">
        <f t="shared" si="18"/>
        <v>0</v>
      </c>
      <c r="CM12" s="16"/>
      <c r="CN12" s="19"/>
      <c r="CO12" s="14"/>
      <c r="CP12" s="16"/>
      <c r="CQ12" s="18">
        <f t="shared" si="19"/>
        <v>0</v>
      </c>
      <c r="CR12" s="16"/>
      <c r="CS12" s="19"/>
      <c r="CT12" s="14"/>
      <c r="CU12" s="16"/>
      <c r="CV12" s="18">
        <f t="shared" si="20"/>
        <v>0</v>
      </c>
      <c r="CW12" s="16"/>
      <c r="CX12" s="19"/>
      <c r="CY12" s="14"/>
      <c r="CZ12" s="16"/>
      <c r="DA12" s="18">
        <f t="shared" si="21"/>
        <v>0</v>
      </c>
      <c r="DB12" s="16"/>
      <c r="DC12" s="19"/>
      <c r="DD12" s="14"/>
      <c r="DE12" s="16"/>
      <c r="DF12" s="18">
        <f t="shared" si="22"/>
        <v>0</v>
      </c>
      <c r="DG12" s="16"/>
      <c r="DH12" s="19"/>
      <c r="DI12" s="14"/>
      <c r="DJ12" s="16"/>
      <c r="DK12" s="18">
        <f t="shared" si="23"/>
        <v>0</v>
      </c>
      <c r="DL12" s="16"/>
      <c r="DM12" s="19"/>
      <c r="DN12" s="14"/>
      <c r="DO12" s="16"/>
      <c r="DP12" s="18">
        <f t="shared" si="24"/>
        <v>0</v>
      </c>
      <c r="DQ12" s="16"/>
      <c r="DR12" s="19"/>
      <c r="DS12" s="14"/>
      <c r="DT12" s="16"/>
      <c r="DU12" s="18">
        <f t="shared" si="25"/>
        <v>0</v>
      </c>
      <c r="DV12" s="16"/>
      <c r="DW12" s="19"/>
      <c r="DX12" s="14"/>
      <c r="DY12" s="16"/>
      <c r="DZ12" s="18">
        <f t="shared" si="26"/>
        <v>0</v>
      </c>
      <c r="EA12" s="16"/>
      <c r="EB12" s="19"/>
      <c r="EC12" s="16">
        <f t="shared" si="27"/>
        <v>0</v>
      </c>
      <c r="ED12" s="14"/>
      <c r="EE12" s="16"/>
      <c r="EF12" s="18">
        <f t="shared" si="28"/>
        <v>0</v>
      </c>
      <c r="EG12" s="16"/>
      <c r="EH12" s="19"/>
      <c r="EI12" s="14"/>
      <c r="EJ12" s="16"/>
      <c r="EK12" s="18">
        <f t="shared" si="29"/>
        <v>0</v>
      </c>
      <c r="EL12" s="16"/>
      <c r="EM12" s="19"/>
      <c r="EN12" s="14"/>
      <c r="EO12" s="16"/>
      <c r="EP12" s="18">
        <f t="shared" si="30"/>
        <v>0</v>
      </c>
      <c r="EQ12" s="16"/>
      <c r="ER12" s="19"/>
      <c r="ES12" s="14"/>
      <c r="ET12" s="16"/>
      <c r="EU12" s="18">
        <f t="shared" si="31"/>
        <v>0</v>
      </c>
      <c r="EV12" s="16"/>
      <c r="EW12" s="19"/>
      <c r="EX12" s="14"/>
      <c r="EY12" s="16"/>
      <c r="EZ12" s="18">
        <f t="shared" si="32"/>
        <v>0</v>
      </c>
      <c r="FA12" s="16"/>
      <c r="FB12" s="19"/>
      <c r="FC12" s="14"/>
      <c r="FD12" s="16"/>
      <c r="FE12" s="18">
        <f t="shared" si="33"/>
        <v>0</v>
      </c>
      <c r="FF12" s="16"/>
      <c r="FG12" s="19"/>
      <c r="FH12" s="14"/>
      <c r="FI12" s="16"/>
      <c r="FJ12" s="18">
        <f t="shared" si="34"/>
        <v>0</v>
      </c>
      <c r="FK12" s="16"/>
      <c r="FL12" s="19"/>
      <c r="FM12" s="14"/>
      <c r="FN12" s="16"/>
      <c r="FO12" s="18">
        <f t="shared" si="35"/>
        <v>0</v>
      </c>
      <c r="FP12" s="16"/>
      <c r="FQ12" s="19"/>
      <c r="FR12" s="14"/>
      <c r="FS12" s="16"/>
      <c r="FT12" s="18">
        <f t="shared" si="36"/>
        <v>0</v>
      </c>
      <c r="FU12" s="16"/>
      <c r="FV12" s="19"/>
      <c r="FW12" s="14"/>
      <c r="FX12" s="16"/>
      <c r="FY12" s="18">
        <f t="shared" si="37"/>
        <v>0</v>
      </c>
      <c r="FZ12" s="16"/>
      <c r="GA12" s="19"/>
      <c r="GB12" s="14"/>
      <c r="GC12" s="16"/>
      <c r="GD12" s="18">
        <f t="shared" si="38"/>
        <v>0</v>
      </c>
      <c r="GE12" s="16"/>
      <c r="GF12" s="19"/>
      <c r="GG12" s="14"/>
      <c r="GH12" s="16"/>
      <c r="GI12" s="18">
        <f t="shared" si="39"/>
        <v>0</v>
      </c>
      <c r="GJ12" s="16"/>
      <c r="GK12" s="19"/>
    </row>
    <row r="13" spans="1:193">
      <c r="A13" s="12">
        <v>10</v>
      </c>
      <c r="B13" s="13">
        <f>[1]项目立项!C33</f>
        <v>0</v>
      </c>
      <c r="C13" s="13">
        <f>[1]项目立项!D33</f>
        <v>0</v>
      </c>
      <c r="D13" s="13">
        <f>[1]项目立项!E33</f>
        <v>0</v>
      </c>
      <c r="E13" s="13">
        <f>[1]项目立项!F33</f>
        <v>0</v>
      </c>
      <c r="F13" s="14"/>
      <c r="G13" s="15">
        <f t="shared" si="0"/>
        <v>0</v>
      </c>
      <c r="H13" s="16"/>
      <c r="I13" s="17"/>
      <c r="J13" s="16"/>
      <c r="K13" s="16">
        <f t="shared" si="1"/>
        <v>0</v>
      </c>
      <c r="L13" s="14"/>
      <c r="M13" s="16"/>
      <c r="N13" s="18">
        <f t="shared" si="2"/>
        <v>0</v>
      </c>
      <c r="O13" s="16"/>
      <c r="P13" s="19"/>
      <c r="Q13" s="14"/>
      <c r="R13" s="16"/>
      <c r="S13" s="18">
        <f t="shared" si="3"/>
        <v>0</v>
      </c>
      <c r="T13" s="16"/>
      <c r="U13" s="19"/>
      <c r="V13" s="14"/>
      <c r="W13" s="16"/>
      <c r="X13" s="18">
        <f t="shared" si="4"/>
        <v>0</v>
      </c>
      <c r="Y13" s="16"/>
      <c r="Z13" s="19"/>
      <c r="AA13" s="14"/>
      <c r="AB13" s="16"/>
      <c r="AC13" s="18">
        <f t="shared" si="5"/>
        <v>0</v>
      </c>
      <c r="AD13" s="16"/>
      <c r="AE13" s="19"/>
      <c r="AF13" s="14"/>
      <c r="AG13" s="16"/>
      <c r="AH13" s="18">
        <f t="shared" si="6"/>
        <v>0</v>
      </c>
      <c r="AI13" s="16"/>
      <c r="AJ13" s="19"/>
      <c r="AK13" s="14"/>
      <c r="AL13" s="16"/>
      <c r="AM13" s="18">
        <f t="shared" si="7"/>
        <v>0</v>
      </c>
      <c r="AN13" s="16"/>
      <c r="AO13" s="19"/>
      <c r="AP13" s="14"/>
      <c r="AQ13" s="16"/>
      <c r="AR13" s="18">
        <f t="shared" si="8"/>
        <v>0</v>
      </c>
      <c r="AS13" s="16"/>
      <c r="AT13" s="19"/>
      <c r="AU13" s="14"/>
      <c r="AV13" s="16"/>
      <c r="AW13" s="18">
        <f t="shared" si="9"/>
        <v>0</v>
      </c>
      <c r="AX13" s="16"/>
      <c r="AY13" s="19"/>
      <c r="AZ13" s="14"/>
      <c r="BA13" s="16"/>
      <c r="BB13" s="18">
        <f t="shared" si="10"/>
        <v>0</v>
      </c>
      <c r="BC13" s="16"/>
      <c r="BD13" s="19"/>
      <c r="BE13" s="14"/>
      <c r="BF13" s="16"/>
      <c r="BG13" s="18">
        <f t="shared" si="11"/>
        <v>0</v>
      </c>
      <c r="BH13" s="16"/>
      <c r="BI13" s="19"/>
      <c r="BJ13" s="14"/>
      <c r="BK13" s="16"/>
      <c r="BL13" s="18">
        <f t="shared" si="12"/>
        <v>0</v>
      </c>
      <c r="BM13" s="16"/>
      <c r="BN13" s="19"/>
      <c r="BO13" s="14"/>
      <c r="BP13" s="16"/>
      <c r="BQ13" s="18">
        <f t="shared" si="13"/>
        <v>0</v>
      </c>
      <c r="BR13" s="16"/>
      <c r="BS13" s="19"/>
      <c r="BT13" s="16">
        <f t="shared" si="14"/>
        <v>0</v>
      </c>
      <c r="BU13" s="14"/>
      <c r="BV13" s="16"/>
      <c r="BW13" s="18">
        <f t="shared" si="15"/>
        <v>0</v>
      </c>
      <c r="BX13" s="16"/>
      <c r="BY13" s="19"/>
      <c r="BZ13" s="14"/>
      <c r="CA13" s="16"/>
      <c r="CB13" s="18">
        <f t="shared" si="16"/>
        <v>0</v>
      </c>
      <c r="CC13" s="16"/>
      <c r="CD13" s="19"/>
      <c r="CE13" s="14"/>
      <c r="CF13" s="16"/>
      <c r="CG13" s="18">
        <f t="shared" si="17"/>
        <v>0</v>
      </c>
      <c r="CH13" s="16"/>
      <c r="CI13" s="19"/>
      <c r="CJ13" s="14"/>
      <c r="CK13" s="16"/>
      <c r="CL13" s="18">
        <f t="shared" si="18"/>
        <v>0</v>
      </c>
      <c r="CM13" s="16"/>
      <c r="CN13" s="19"/>
      <c r="CO13" s="14"/>
      <c r="CP13" s="16"/>
      <c r="CQ13" s="18">
        <f t="shared" si="19"/>
        <v>0</v>
      </c>
      <c r="CR13" s="16"/>
      <c r="CS13" s="19"/>
      <c r="CT13" s="14"/>
      <c r="CU13" s="16"/>
      <c r="CV13" s="18">
        <f t="shared" si="20"/>
        <v>0</v>
      </c>
      <c r="CW13" s="16"/>
      <c r="CX13" s="19"/>
      <c r="CY13" s="14"/>
      <c r="CZ13" s="16"/>
      <c r="DA13" s="18">
        <f t="shared" si="21"/>
        <v>0</v>
      </c>
      <c r="DB13" s="16"/>
      <c r="DC13" s="19"/>
      <c r="DD13" s="14"/>
      <c r="DE13" s="16"/>
      <c r="DF13" s="18">
        <f t="shared" si="22"/>
        <v>0</v>
      </c>
      <c r="DG13" s="16"/>
      <c r="DH13" s="19"/>
      <c r="DI13" s="14"/>
      <c r="DJ13" s="16"/>
      <c r="DK13" s="18">
        <f t="shared" si="23"/>
        <v>0</v>
      </c>
      <c r="DL13" s="16"/>
      <c r="DM13" s="19"/>
      <c r="DN13" s="14"/>
      <c r="DO13" s="16"/>
      <c r="DP13" s="18">
        <f t="shared" si="24"/>
        <v>0</v>
      </c>
      <c r="DQ13" s="16"/>
      <c r="DR13" s="19"/>
      <c r="DS13" s="14"/>
      <c r="DT13" s="16"/>
      <c r="DU13" s="18">
        <f t="shared" si="25"/>
        <v>0</v>
      </c>
      <c r="DV13" s="16"/>
      <c r="DW13" s="19"/>
      <c r="DX13" s="14"/>
      <c r="DY13" s="16"/>
      <c r="DZ13" s="18">
        <f t="shared" si="26"/>
        <v>0</v>
      </c>
      <c r="EA13" s="16"/>
      <c r="EB13" s="19"/>
      <c r="EC13" s="16">
        <f t="shared" si="27"/>
        <v>0</v>
      </c>
      <c r="ED13" s="14"/>
      <c r="EE13" s="16"/>
      <c r="EF13" s="18">
        <f t="shared" si="28"/>
        <v>0</v>
      </c>
      <c r="EG13" s="16"/>
      <c r="EH13" s="19"/>
      <c r="EI13" s="14"/>
      <c r="EJ13" s="16"/>
      <c r="EK13" s="18">
        <f t="shared" si="29"/>
        <v>0</v>
      </c>
      <c r="EL13" s="16"/>
      <c r="EM13" s="19"/>
      <c r="EN13" s="14"/>
      <c r="EO13" s="16"/>
      <c r="EP13" s="18">
        <f t="shared" si="30"/>
        <v>0</v>
      </c>
      <c r="EQ13" s="16"/>
      <c r="ER13" s="19"/>
      <c r="ES13" s="14"/>
      <c r="ET13" s="16"/>
      <c r="EU13" s="18">
        <f t="shared" si="31"/>
        <v>0</v>
      </c>
      <c r="EV13" s="16"/>
      <c r="EW13" s="19"/>
      <c r="EX13" s="14"/>
      <c r="EY13" s="16"/>
      <c r="EZ13" s="18">
        <f t="shared" si="32"/>
        <v>0</v>
      </c>
      <c r="FA13" s="16"/>
      <c r="FB13" s="19"/>
      <c r="FC13" s="14"/>
      <c r="FD13" s="16"/>
      <c r="FE13" s="18">
        <f t="shared" si="33"/>
        <v>0</v>
      </c>
      <c r="FF13" s="16"/>
      <c r="FG13" s="19"/>
      <c r="FH13" s="14"/>
      <c r="FI13" s="16"/>
      <c r="FJ13" s="18">
        <f t="shared" si="34"/>
        <v>0</v>
      </c>
      <c r="FK13" s="16"/>
      <c r="FL13" s="19"/>
      <c r="FM13" s="14"/>
      <c r="FN13" s="16"/>
      <c r="FO13" s="18">
        <f t="shared" si="35"/>
        <v>0</v>
      </c>
      <c r="FP13" s="16"/>
      <c r="FQ13" s="19"/>
      <c r="FR13" s="14"/>
      <c r="FS13" s="16"/>
      <c r="FT13" s="18">
        <f t="shared" si="36"/>
        <v>0</v>
      </c>
      <c r="FU13" s="16"/>
      <c r="FV13" s="19"/>
      <c r="FW13" s="14"/>
      <c r="FX13" s="16"/>
      <c r="FY13" s="18">
        <f t="shared" si="37"/>
        <v>0</v>
      </c>
      <c r="FZ13" s="16"/>
      <c r="GA13" s="19"/>
      <c r="GB13" s="14"/>
      <c r="GC13" s="16"/>
      <c r="GD13" s="18">
        <f t="shared" si="38"/>
        <v>0</v>
      </c>
      <c r="GE13" s="16"/>
      <c r="GF13" s="19"/>
      <c r="GG13" s="14"/>
      <c r="GH13" s="16"/>
      <c r="GI13" s="18">
        <f t="shared" si="39"/>
        <v>0</v>
      </c>
      <c r="GJ13" s="16"/>
      <c r="GK13" s="19"/>
    </row>
    <row r="14" spans="1:193">
      <c r="A14" s="12">
        <v>11</v>
      </c>
      <c r="B14" s="13">
        <f>[1]项目立项!C34</f>
        <v>0</v>
      </c>
      <c r="C14" s="13">
        <f>[1]项目立项!D34</f>
        <v>0</v>
      </c>
      <c r="D14" s="13">
        <f>[1]项目立项!E34</f>
        <v>0</v>
      </c>
      <c r="E14" s="13">
        <f>[1]项目立项!F34</f>
        <v>0</v>
      </c>
      <c r="F14" s="14"/>
      <c r="G14" s="15">
        <f t="shared" si="0"/>
        <v>0</v>
      </c>
      <c r="H14" s="16"/>
      <c r="I14" s="17"/>
      <c r="J14" s="16"/>
      <c r="K14" s="16">
        <f t="shared" si="1"/>
        <v>0</v>
      </c>
      <c r="L14" s="14"/>
      <c r="M14" s="16"/>
      <c r="N14" s="18">
        <f t="shared" si="2"/>
        <v>0</v>
      </c>
      <c r="O14" s="16"/>
      <c r="P14" s="19"/>
      <c r="Q14" s="14"/>
      <c r="R14" s="16"/>
      <c r="S14" s="18">
        <f t="shared" si="3"/>
        <v>0</v>
      </c>
      <c r="T14" s="16"/>
      <c r="U14" s="19"/>
      <c r="V14" s="14"/>
      <c r="W14" s="16"/>
      <c r="X14" s="18">
        <f t="shared" si="4"/>
        <v>0</v>
      </c>
      <c r="Y14" s="16"/>
      <c r="Z14" s="19"/>
      <c r="AA14" s="14"/>
      <c r="AB14" s="16"/>
      <c r="AC14" s="18">
        <f t="shared" si="5"/>
        <v>0</v>
      </c>
      <c r="AD14" s="16"/>
      <c r="AE14" s="19"/>
      <c r="AF14" s="14"/>
      <c r="AG14" s="16"/>
      <c r="AH14" s="18">
        <f t="shared" si="6"/>
        <v>0</v>
      </c>
      <c r="AI14" s="16"/>
      <c r="AJ14" s="19"/>
      <c r="AK14" s="14"/>
      <c r="AL14" s="16"/>
      <c r="AM14" s="18">
        <f t="shared" si="7"/>
        <v>0</v>
      </c>
      <c r="AN14" s="16"/>
      <c r="AO14" s="19"/>
      <c r="AP14" s="14"/>
      <c r="AQ14" s="16"/>
      <c r="AR14" s="18">
        <f t="shared" si="8"/>
        <v>0</v>
      </c>
      <c r="AS14" s="16"/>
      <c r="AT14" s="19"/>
      <c r="AU14" s="14"/>
      <c r="AV14" s="16"/>
      <c r="AW14" s="18">
        <f t="shared" si="9"/>
        <v>0</v>
      </c>
      <c r="AX14" s="16"/>
      <c r="AY14" s="19"/>
      <c r="AZ14" s="14"/>
      <c r="BA14" s="16"/>
      <c r="BB14" s="18">
        <f t="shared" si="10"/>
        <v>0</v>
      </c>
      <c r="BC14" s="16"/>
      <c r="BD14" s="19"/>
      <c r="BE14" s="14"/>
      <c r="BF14" s="16"/>
      <c r="BG14" s="18">
        <f t="shared" si="11"/>
        <v>0</v>
      </c>
      <c r="BH14" s="16"/>
      <c r="BI14" s="19"/>
      <c r="BJ14" s="14"/>
      <c r="BK14" s="16"/>
      <c r="BL14" s="18">
        <f t="shared" si="12"/>
        <v>0</v>
      </c>
      <c r="BM14" s="16"/>
      <c r="BN14" s="19"/>
      <c r="BO14" s="14"/>
      <c r="BP14" s="16"/>
      <c r="BQ14" s="18">
        <f t="shared" si="13"/>
        <v>0</v>
      </c>
      <c r="BR14" s="16"/>
      <c r="BS14" s="19"/>
      <c r="BT14" s="16">
        <f t="shared" si="14"/>
        <v>0</v>
      </c>
      <c r="BU14" s="14"/>
      <c r="BV14" s="16"/>
      <c r="BW14" s="18">
        <f t="shared" si="15"/>
        <v>0</v>
      </c>
      <c r="BX14" s="16"/>
      <c r="BY14" s="19"/>
      <c r="BZ14" s="14"/>
      <c r="CA14" s="16"/>
      <c r="CB14" s="18">
        <f t="shared" si="16"/>
        <v>0</v>
      </c>
      <c r="CC14" s="16"/>
      <c r="CD14" s="19"/>
      <c r="CE14" s="14"/>
      <c r="CF14" s="16"/>
      <c r="CG14" s="18">
        <f t="shared" si="17"/>
        <v>0</v>
      </c>
      <c r="CH14" s="16"/>
      <c r="CI14" s="19"/>
      <c r="CJ14" s="14"/>
      <c r="CK14" s="16"/>
      <c r="CL14" s="18">
        <f t="shared" si="18"/>
        <v>0</v>
      </c>
      <c r="CM14" s="16"/>
      <c r="CN14" s="19"/>
      <c r="CO14" s="14"/>
      <c r="CP14" s="16"/>
      <c r="CQ14" s="18">
        <f t="shared" si="19"/>
        <v>0</v>
      </c>
      <c r="CR14" s="16"/>
      <c r="CS14" s="19"/>
      <c r="CT14" s="14"/>
      <c r="CU14" s="16"/>
      <c r="CV14" s="18">
        <f t="shared" si="20"/>
        <v>0</v>
      </c>
      <c r="CW14" s="16"/>
      <c r="CX14" s="19"/>
      <c r="CY14" s="14"/>
      <c r="CZ14" s="16"/>
      <c r="DA14" s="18">
        <f t="shared" si="21"/>
        <v>0</v>
      </c>
      <c r="DB14" s="16"/>
      <c r="DC14" s="19"/>
      <c r="DD14" s="14"/>
      <c r="DE14" s="16"/>
      <c r="DF14" s="18">
        <f t="shared" si="22"/>
        <v>0</v>
      </c>
      <c r="DG14" s="16"/>
      <c r="DH14" s="19"/>
      <c r="DI14" s="14"/>
      <c r="DJ14" s="16"/>
      <c r="DK14" s="18">
        <f t="shared" si="23"/>
        <v>0</v>
      </c>
      <c r="DL14" s="16"/>
      <c r="DM14" s="19"/>
      <c r="DN14" s="14"/>
      <c r="DO14" s="16"/>
      <c r="DP14" s="18">
        <f t="shared" si="24"/>
        <v>0</v>
      </c>
      <c r="DQ14" s="16"/>
      <c r="DR14" s="19"/>
      <c r="DS14" s="14"/>
      <c r="DT14" s="16"/>
      <c r="DU14" s="18">
        <f t="shared" si="25"/>
        <v>0</v>
      </c>
      <c r="DV14" s="16"/>
      <c r="DW14" s="19"/>
      <c r="DX14" s="14"/>
      <c r="DY14" s="16"/>
      <c r="DZ14" s="18">
        <f t="shared" si="26"/>
        <v>0</v>
      </c>
      <c r="EA14" s="16"/>
      <c r="EB14" s="19"/>
      <c r="EC14" s="16">
        <f t="shared" si="27"/>
        <v>0</v>
      </c>
      <c r="ED14" s="14"/>
      <c r="EE14" s="16"/>
      <c r="EF14" s="18">
        <f t="shared" si="28"/>
        <v>0</v>
      </c>
      <c r="EG14" s="16"/>
      <c r="EH14" s="19"/>
      <c r="EI14" s="14"/>
      <c r="EJ14" s="16"/>
      <c r="EK14" s="18">
        <f t="shared" si="29"/>
        <v>0</v>
      </c>
      <c r="EL14" s="16"/>
      <c r="EM14" s="19"/>
      <c r="EN14" s="14"/>
      <c r="EO14" s="16"/>
      <c r="EP14" s="18">
        <f t="shared" si="30"/>
        <v>0</v>
      </c>
      <c r="EQ14" s="16"/>
      <c r="ER14" s="19"/>
      <c r="ES14" s="14"/>
      <c r="ET14" s="16"/>
      <c r="EU14" s="18">
        <f t="shared" si="31"/>
        <v>0</v>
      </c>
      <c r="EV14" s="16"/>
      <c r="EW14" s="19"/>
      <c r="EX14" s="14"/>
      <c r="EY14" s="16"/>
      <c r="EZ14" s="18">
        <f t="shared" si="32"/>
        <v>0</v>
      </c>
      <c r="FA14" s="16"/>
      <c r="FB14" s="19"/>
      <c r="FC14" s="14"/>
      <c r="FD14" s="16"/>
      <c r="FE14" s="18">
        <f t="shared" si="33"/>
        <v>0</v>
      </c>
      <c r="FF14" s="16"/>
      <c r="FG14" s="19"/>
      <c r="FH14" s="14"/>
      <c r="FI14" s="16"/>
      <c r="FJ14" s="18">
        <f t="shared" si="34"/>
        <v>0</v>
      </c>
      <c r="FK14" s="16"/>
      <c r="FL14" s="19"/>
      <c r="FM14" s="14"/>
      <c r="FN14" s="16"/>
      <c r="FO14" s="18">
        <f t="shared" si="35"/>
        <v>0</v>
      </c>
      <c r="FP14" s="16"/>
      <c r="FQ14" s="19"/>
      <c r="FR14" s="14"/>
      <c r="FS14" s="16"/>
      <c r="FT14" s="18">
        <f t="shared" si="36"/>
        <v>0</v>
      </c>
      <c r="FU14" s="16"/>
      <c r="FV14" s="19"/>
      <c r="FW14" s="14"/>
      <c r="FX14" s="16"/>
      <c r="FY14" s="18">
        <f t="shared" si="37"/>
        <v>0</v>
      </c>
      <c r="FZ14" s="16"/>
      <c r="GA14" s="19"/>
      <c r="GB14" s="14"/>
      <c r="GC14" s="16"/>
      <c r="GD14" s="18">
        <f t="shared" si="38"/>
        <v>0</v>
      </c>
      <c r="GE14" s="16"/>
      <c r="GF14" s="19"/>
      <c r="GG14" s="14"/>
      <c r="GH14" s="16"/>
      <c r="GI14" s="18">
        <f t="shared" si="39"/>
        <v>0</v>
      </c>
      <c r="GJ14" s="16"/>
      <c r="GK14" s="19"/>
    </row>
    <row r="15" spans="1:193">
      <c r="A15" s="12">
        <v>12</v>
      </c>
      <c r="B15" s="13">
        <f>[1]项目立项!C35</f>
        <v>0</v>
      </c>
      <c r="C15" s="13">
        <f>[1]项目立项!D35</f>
        <v>0</v>
      </c>
      <c r="D15" s="13">
        <f>[1]项目立项!E35</f>
        <v>0</v>
      </c>
      <c r="E15" s="13">
        <f>[1]项目立项!F35</f>
        <v>0</v>
      </c>
      <c r="F15" s="14"/>
      <c r="G15" s="15">
        <f t="shared" si="0"/>
        <v>0</v>
      </c>
      <c r="H15" s="16"/>
      <c r="I15" s="17"/>
      <c r="J15" s="16"/>
      <c r="K15" s="16">
        <f t="shared" si="1"/>
        <v>0</v>
      </c>
      <c r="L15" s="14"/>
      <c r="M15" s="16"/>
      <c r="N15" s="18">
        <f t="shared" si="2"/>
        <v>0</v>
      </c>
      <c r="O15" s="16"/>
      <c r="P15" s="19"/>
      <c r="Q15" s="14"/>
      <c r="R15" s="16"/>
      <c r="S15" s="18">
        <f t="shared" si="3"/>
        <v>0</v>
      </c>
      <c r="T15" s="16"/>
      <c r="U15" s="19"/>
      <c r="V15" s="14"/>
      <c r="W15" s="16"/>
      <c r="X15" s="18">
        <f t="shared" si="4"/>
        <v>0</v>
      </c>
      <c r="Y15" s="16"/>
      <c r="Z15" s="19"/>
      <c r="AA15" s="14"/>
      <c r="AB15" s="16"/>
      <c r="AC15" s="18">
        <f t="shared" si="5"/>
        <v>0</v>
      </c>
      <c r="AD15" s="16"/>
      <c r="AE15" s="19"/>
      <c r="AF15" s="14"/>
      <c r="AG15" s="16"/>
      <c r="AH15" s="18">
        <f t="shared" si="6"/>
        <v>0</v>
      </c>
      <c r="AI15" s="16"/>
      <c r="AJ15" s="19"/>
      <c r="AK15" s="14"/>
      <c r="AL15" s="16"/>
      <c r="AM15" s="18">
        <f t="shared" si="7"/>
        <v>0</v>
      </c>
      <c r="AN15" s="16"/>
      <c r="AO15" s="19"/>
      <c r="AP15" s="14"/>
      <c r="AQ15" s="16"/>
      <c r="AR15" s="18">
        <f t="shared" si="8"/>
        <v>0</v>
      </c>
      <c r="AS15" s="16"/>
      <c r="AT15" s="19"/>
      <c r="AU15" s="14"/>
      <c r="AV15" s="16"/>
      <c r="AW15" s="18">
        <f t="shared" si="9"/>
        <v>0</v>
      </c>
      <c r="AX15" s="16"/>
      <c r="AY15" s="19"/>
      <c r="AZ15" s="14"/>
      <c r="BA15" s="16"/>
      <c r="BB15" s="18">
        <f t="shared" si="10"/>
        <v>0</v>
      </c>
      <c r="BC15" s="16"/>
      <c r="BD15" s="19"/>
      <c r="BE15" s="14"/>
      <c r="BF15" s="16"/>
      <c r="BG15" s="18">
        <f t="shared" si="11"/>
        <v>0</v>
      </c>
      <c r="BH15" s="16"/>
      <c r="BI15" s="19"/>
      <c r="BJ15" s="14"/>
      <c r="BK15" s="16"/>
      <c r="BL15" s="18">
        <f t="shared" si="12"/>
        <v>0</v>
      </c>
      <c r="BM15" s="16"/>
      <c r="BN15" s="19"/>
      <c r="BO15" s="14"/>
      <c r="BP15" s="16"/>
      <c r="BQ15" s="18">
        <f t="shared" si="13"/>
        <v>0</v>
      </c>
      <c r="BR15" s="16"/>
      <c r="BS15" s="19"/>
      <c r="BT15" s="16">
        <f t="shared" si="14"/>
        <v>0</v>
      </c>
      <c r="BU15" s="14"/>
      <c r="BV15" s="16"/>
      <c r="BW15" s="18">
        <f t="shared" si="15"/>
        <v>0</v>
      </c>
      <c r="BX15" s="16"/>
      <c r="BY15" s="19"/>
      <c r="BZ15" s="14"/>
      <c r="CA15" s="16"/>
      <c r="CB15" s="18">
        <f t="shared" si="16"/>
        <v>0</v>
      </c>
      <c r="CC15" s="16"/>
      <c r="CD15" s="19"/>
      <c r="CE15" s="14"/>
      <c r="CF15" s="16"/>
      <c r="CG15" s="18">
        <f t="shared" si="17"/>
        <v>0</v>
      </c>
      <c r="CH15" s="16"/>
      <c r="CI15" s="19"/>
      <c r="CJ15" s="14"/>
      <c r="CK15" s="16"/>
      <c r="CL15" s="18">
        <f t="shared" si="18"/>
        <v>0</v>
      </c>
      <c r="CM15" s="16"/>
      <c r="CN15" s="19"/>
      <c r="CO15" s="14"/>
      <c r="CP15" s="16"/>
      <c r="CQ15" s="18">
        <f t="shared" si="19"/>
        <v>0</v>
      </c>
      <c r="CR15" s="16"/>
      <c r="CS15" s="19"/>
      <c r="CT15" s="14"/>
      <c r="CU15" s="16"/>
      <c r="CV15" s="18">
        <f t="shared" si="20"/>
        <v>0</v>
      </c>
      <c r="CW15" s="16"/>
      <c r="CX15" s="19"/>
      <c r="CY15" s="14"/>
      <c r="CZ15" s="16"/>
      <c r="DA15" s="18">
        <f t="shared" si="21"/>
        <v>0</v>
      </c>
      <c r="DB15" s="16"/>
      <c r="DC15" s="19"/>
      <c r="DD15" s="14"/>
      <c r="DE15" s="16"/>
      <c r="DF15" s="18">
        <f t="shared" si="22"/>
        <v>0</v>
      </c>
      <c r="DG15" s="16"/>
      <c r="DH15" s="19"/>
      <c r="DI15" s="14"/>
      <c r="DJ15" s="16"/>
      <c r="DK15" s="18">
        <f t="shared" si="23"/>
        <v>0</v>
      </c>
      <c r="DL15" s="16"/>
      <c r="DM15" s="19"/>
      <c r="DN15" s="14"/>
      <c r="DO15" s="16"/>
      <c r="DP15" s="18">
        <f t="shared" si="24"/>
        <v>0</v>
      </c>
      <c r="DQ15" s="16"/>
      <c r="DR15" s="19"/>
      <c r="DS15" s="14"/>
      <c r="DT15" s="16"/>
      <c r="DU15" s="18">
        <f t="shared" si="25"/>
        <v>0</v>
      </c>
      <c r="DV15" s="16"/>
      <c r="DW15" s="19"/>
      <c r="DX15" s="14"/>
      <c r="DY15" s="16"/>
      <c r="DZ15" s="18">
        <f t="shared" si="26"/>
        <v>0</v>
      </c>
      <c r="EA15" s="16"/>
      <c r="EB15" s="19"/>
      <c r="EC15" s="16">
        <f t="shared" si="27"/>
        <v>0</v>
      </c>
      <c r="ED15" s="14"/>
      <c r="EE15" s="16"/>
      <c r="EF15" s="18">
        <f t="shared" si="28"/>
        <v>0</v>
      </c>
      <c r="EG15" s="16"/>
      <c r="EH15" s="19"/>
      <c r="EI15" s="14"/>
      <c r="EJ15" s="16"/>
      <c r="EK15" s="18">
        <f t="shared" si="29"/>
        <v>0</v>
      </c>
      <c r="EL15" s="16"/>
      <c r="EM15" s="19"/>
      <c r="EN15" s="14"/>
      <c r="EO15" s="16"/>
      <c r="EP15" s="18">
        <f t="shared" si="30"/>
        <v>0</v>
      </c>
      <c r="EQ15" s="16"/>
      <c r="ER15" s="19"/>
      <c r="ES15" s="14"/>
      <c r="ET15" s="16"/>
      <c r="EU15" s="18">
        <f t="shared" si="31"/>
        <v>0</v>
      </c>
      <c r="EV15" s="16"/>
      <c r="EW15" s="19"/>
      <c r="EX15" s="14"/>
      <c r="EY15" s="16"/>
      <c r="EZ15" s="18">
        <f t="shared" si="32"/>
        <v>0</v>
      </c>
      <c r="FA15" s="16"/>
      <c r="FB15" s="19"/>
      <c r="FC15" s="14"/>
      <c r="FD15" s="16"/>
      <c r="FE15" s="18">
        <f t="shared" si="33"/>
        <v>0</v>
      </c>
      <c r="FF15" s="16"/>
      <c r="FG15" s="19"/>
      <c r="FH15" s="14"/>
      <c r="FI15" s="16"/>
      <c r="FJ15" s="18">
        <f t="shared" si="34"/>
        <v>0</v>
      </c>
      <c r="FK15" s="16"/>
      <c r="FL15" s="19"/>
      <c r="FM15" s="14"/>
      <c r="FN15" s="16"/>
      <c r="FO15" s="18">
        <f t="shared" si="35"/>
        <v>0</v>
      </c>
      <c r="FP15" s="16"/>
      <c r="FQ15" s="19"/>
      <c r="FR15" s="14"/>
      <c r="FS15" s="16"/>
      <c r="FT15" s="18">
        <f t="shared" si="36"/>
        <v>0</v>
      </c>
      <c r="FU15" s="16"/>
      <c r="FV15" s="19"/>
      <c r="FW15" s="14"/>
      <c r="FX15" s="16"/>
      <c r="FY15" s="18">
        <f t="shared" si="37"/>
        <v>0</v>
      </c>
      <c r="FZ15" s="16"/>
      <c r="GA15" s="19"/>
      <c r="GB15" s="14"/>
      <c r="GC15" s="16"/>
      <c r="GD15" s="18">
        <f t="shared" si="38"/>
        <v>0</v>
      </c>
      <c r="GE15" s="16"/>
      <c r="GF15" s="19"/>
      <c r="GG15" s="14"/>
      <c r="GH15" s="16"/>
      <c r="GI15" s="18">
        <f t="shared" si="39"/>
        <v>0</v>
      </c>
      <c r="GJ15" s="16"/>
      <c r="GK15" s="19"/>
    </row>
    <row r="16" spans="1:193">
      <c r="A16" s="12">
        <v>13</v>
      </c>
      <c r="B16" s="13">
        <f>[1]项目立项!C36</f>
        <v>0</v>
      </c>
      <c r="C16" s="13">
        <f>[1]项目立项!D36</f>
        <v>0</v>
      </c>
      <c r="D16" s="13">
        <f>[1]项目立项!E36</f>
        <v>0</v>
      </c>
      <c r="E16" s="13">
        <f>[1]项目立项!F36</f>
        <v>0</v>
      </c>
      <c r="F16" s="14"/>
      <c r="G16" s="15">
        <f t="shared" si="0"/>
        <v>0</v>
      </c>
      <c r="H16" s="16"/>
      <c r="I16" s="17"/>
      <c r="J16" s="16"/>
      <c r="K16" s="16">
        <f t="shared" si="1"/>
        <v>0</v>
      </c>
      <c r="L16" s="14"/>
      <c r="M16" s="16"/>
      <c r="N16" s="18">
        <f t="shared" si="2"/>
        <v>0</v>
      </c>
      <c r="O16" s="16"/>
      <c r="P16" s="19"/>
      <c r="Q16" s="14"/>
      <c r="R16" s="16"/>
      <c r="S16" s="18">
        <f t="shared" si="3"/>
        <v>0</v>
      </c>
      <c r="T16" s="16"/>
      <c r="U16" s="19"/>
      <c r="V16" s="14"/>
      <c r="W16" s="16"/>
      <c r="X16" s="18">
        <f t="shared" si="4"/>
        <v>0</v>
      </c>
      <c r="Y16" s="16"/>
      <c r="Z16" s="19"/>
      <c r="AA16" s="14"/>
      <c r="AB16" s="16"/>
      <c r="AC16" s="18">
        <f t="shared" si="5"/>
        <v>0</v>
      </c>
      <c r="AD16" s="16"/>
      <c r="AE16" s="19"/>
      <c r="AF16" s="14"/>
      <c r="AG16" s="16"/>
      <c r="AH16" s="18">
        <f t="shared" si="6"/>
        <v>0</v>
      </c>
      <c r="AI16" s="16"/>
      <c r="AJ16" s="19"/>
      <c r="AK16" s="14"/>
      <c r="AL16" s="16"/>
      <c r="AM16" s="18">
        <f t="shared" si="7"/>
        <v>0</v>
      </c>
      <c r="AN16" s="16"/>
      <c r="AO16" s="19"/>
      <c r="AP16" s="14"/>
      <c r="AQ16" s="16"/>
      <c r="AR16" s="18">
        <f t="shared" si="8"/>
        <v>0</v>
      </c>
      <c r="AS16" s="16"/>
      <c r="AT16" s="19"/>
      <c r="AU16" s="14"/>
      <c r="AV16" s="16"/>
      <c r="AW16" s="18">
        <f t="shared" si="9"/>
        <v>0</v>
      </c>
      <c r="AX16" s="16"/>
      <c r="AY16" s="19"/>
      <c r="AZ16" s="14"/>
      <c r="BA16" s="16"/>
      <c r="BB16" s="18">
        <f t="shared" si="10"/>
        <v>0</v>
      </c>
      <c r="BC16" s="16"/>
      <c r="BD16" s="19"/>
      <c r="BE16" s="14"/>
      <c r="BF16" s="16"/>
      <c r="BG16" s="18">
        <f t="shared" si="11"/>
        <v>0</v>
      </c>
      <c r="BH16" s="16"/>
      <c r="BI16" s="19"/>
      <c r="BJ16" s="14"/>
      <c r="BK16" s="16"/>
      <c r="BL16" s="18">
        <f t="shared" si="12"/>
        <v>0</v>
      </c>
      <c r="BM16" s="16"/>
      <c r="BN16" s="19"/>
      <c r="BO16" s="14"/>
      <c r="BP16" s="16"/>
      <c r="BQ16" s="18">
        <f t="shared" si="13"/>
        <v>0</v>
      </c>
      <c r="BR16" s="16"/>
      <c r="BS16" s="19"/>
      <c r="BT16" s="16">
        <f t="shared" si="14"/>
        <v>0</v>
      </c>
      <c r="BU16" s="14"/>
      <c r="BV16" s="16"/>
      <c r="BW16" s="18">
        <f t="shared" si="15"/>
        <v>0</v>
      </c>
      <c r="BX16" s="16"/>
      <c r="BY16" s="19"/>
      <c r="BZ16" s="14"/>
      <c r="CA16" s="16"/>
      <c r="CB16" s="18">
        <f t="shared" si="16"/>
        <v>0</v>
      </c>
      <c r="CC16" s="16"/>
      <c r="CD16" s="19"/>
      <c r="CE16" s="14"/>
      <c r="CF16" s="16"/>
      <c r="CG16" s="18">
        <f t="shared" si="17"/>
        <v>0</v>
      </c>
      <c r="CH16" s="16"/>
      <c r="CI16" s="19"/>
      <c r="CJ16" s="14"/>
      <c r="CK16" s="16"/>
      <c r="CL16" s="18">
        <f t="shared" si="18"/>
        <v>0</v>
      </c>
      <c r="CM16" s="16"/>
      <c r="CN16" s="19"/>
      <c r="CO16" s="14"/>
      <c r="CP16" s="16"/>
      <c r="CQ16" s="18">
        <f t="shared" si="19"/>
        <v>0</v>
      </c>
      <c r="CR16" s="16"/>
      <c r="CS16" s="19"/>
      <c r="CT16" s="14"/>
      <c r="CU16" s="16"/>
      <c r="CV16" s="18">
        <f t="shared" si="20"/>
        <v>0</v>
      </c>
      <c r="CW16" s="16"/>
      <c r="CX16" s="19"/>
      <c r="CY16" s="14"/>
      <c r="CZ16" s="16"/>
      <c r="DA16" s="18">
        <f t="shared" si="21"/>
        <v>0</v>
      </c>
      <c r="DB16" s="16"/>
      <c r="DC16" s="19"/>
      <c r="DD16" s="14"/>
      <c r="DE16" s="16"/>
      <c r="DF16" s="18">
        <f t="shared" si="22"/>
        <v>0</v>
      </c>
      <c r="DG16" s="16"/>
      <c r="DH16" s="19"/>
      <c r="DI16" s="14"/>
      <c r="DJ16" s="16"/>
      <c r="DK16" s="18">
        <f t="shared" si="23"/>
        <v>0</v>
      </c>
      <c r="DL16" s="16"/>
      <c r="DM16" s="19"/>
      <c r="DN16" s="14"/>
      <c r="DO16" s="16"/>
      <c r="DP16" s="18">
        <f t="shared" si="24"/>
        <v>0</v>
      </c>
      <c r="DQ16" s="16"/>
      <c r="DR16" s="19"/>
      <c r="DS16" s="14"/>
      <c r="DT16" s="16"/>
      <c r="DU16" s="18">
        <f t="shared" si="25"/>
        <v>0</v>
      </c>
      <c r="DV16" s="16"/>
      <c r="DW16" s="19"/>
      <c r="DX16" s="14"/>
      <c r="DY16" s="16"/>
      <c r="DZ16" s="18">
        <f t="shared" si="26"/>
        <v>0</v>
      </c>
      <c r="EA16" s="16"/>
      <c r="EB16" s="19"/>
      <c r="EC16" s="16">
        <f t="shared" si="27"/>
        <v>0</v>
      </c>
      <c r="ED16" s="14"/>
      <c r="EE16" s="16"/>
      <c r="EF16" s="18">
        <f t="shared" si="28"/>
        <v>0</v>
      </c>
      <c r="EG16" s="16"/>
      <c r="EH16" s="19"/>
      <c r="EI16" s="14"/>
      <c r="EJ16" s="16"/>
      <c r="EK16" s="18">
        <f t="shared" si="29"/>
        <v>0</v>
      </c>
      <c r="EL16" s="16"/>
      <c r="EM16" s="19"/>
      <c r="EN16" s="14"/>
      <c r="EO16" s="16"/>
      <c r="EP16" s="18">
        <f t="shared" si="30"/>
        <v>0</v>
      </c>
      <c r="EQ16" s="16"/>
      <c r="ER16" s="19"/>
      <c r="ES16" s="14"/>
      <c r="ET16" s="16"/>
      <c r="EU16" s="18">
        <f t="shared" si="31"/>
        <v>0</v>
      </c>
      <c r="EV16" s="16"/>
      <c r="EW16" s="19"/>
      <c r="EX16" s="14"/>
      <c r="EY16" s="16"/>
      <c r="EZ16" s="18">
        <f t="shared" si="32"/>
        <v>0</v>
      </c>
      <c r="FA16" s="16"/>
      <c r="FB16" s="19"/>
      <c r="FC16" s="14"/>
      <c r="FD16" s="16"/>
      <c r="FE16" s="18">
        <f t="shared" si="33"/>
        <v>0</v>
      </c>
      <c r="FF16" s="16"/>
      <c r="FG16" s="19"/>
      <c r="FH16" s="14"/>
      <c r="FI16" s="16"/>
      <c r="FJ16" s="18">
        <f t="shared" si="34"/>
        <v>0</v>
      </c>
      <c r="FK16" s="16"/>
      <c r="FL16" s="19"/>
      <c r="FM16" s="14"/>
      <c r="FN16" s="16"/>
      <c r="FO16" s="18">
        <f t="shared" si="35"/>
        <v>0</v>
      </c>
      <c r="FP16" s="16"/>
      <c r="FQ16" s="19"/>
      <c r="FR16" s="14"/>
      <c r="FS16" s="16"/>
      <c r="FT16" s="18">
        <f t="shared" si="36"/>
        <v>0</v>
      </c>
      <c r="FU16" s="16"/>
      <c r="FV16" s="19"/>
      <c r="FW16" s="14"/>
      <c r="FX16" s="16"/>
      <c r="FY16" s="18">
        <f t="shared" si="37"/>
        <v>0</v>
      </c>
      <c r="FZ16" s="16"/>
      <c r="GA16" s="19"/>
      <c r="GB16" s="14"/>
      <c r="GC16" s="16"/>
      <c r="GD16" s="18">
        <f t="shared" si="38"/>
        <v>0</v>
      </c>
      <c r="GE16" s="16"/>
      <c r="GF16" s="19"/>
      <c r="GG16" s="14"/>
      <c r="GH16" s="16"/>
      <c r="GI16" s="18">
        <f t="shared" si="39"/>
        <v>0</v>
      </c>
      <c r="GJ16" s="16"/>
      <c r="GK16" s="19"/>
    </row>
    <row r="17" spans="1:193">
      <c r="A17" s="12">
        <v>14</v>
      </c>
      <c r="B17" s="13">
        <f>[1]项目立项!C37</f>
        <v>0</v>
      </c>
      <c r="C17" s="13">
        <f>[1]项目立项!D37</f>
        <v>0</v>
      </c>
      <c r="D17" s="13">
        <f>[1]项目立项!E37</f>
        <v>0</v>
      </c>
      <c r="E17" s="13">
        <f>[1]项目立项!F37</f>
        <v>0</v>
      </c>
      <c r="F17" s="14"/>
      <c r="G17" s="15">
        <f t="shared" si="0"/>
        <v>0</v>
      </c>
      <c r="H17" s="16"/>
      <c r="I17" s="17"/>
      <c r="J17" s="16"/>
      <c r="K17" s="16">
        <f t="shared" si="1"/>
        <v>0</v>
      </c>
      <c r="L17" s="14"/>
      <c r="M17" s="16"/>
      <c r="N17" s="18">
        <f t="shared" si="2"/>
        <v>0</v>
      </c>
      <c r="O17" s="16"/>
      <c r="P17" s="19"/>
      <c r="Q17" s="14"/>
      <c r="R17" s="16"/>
      <c r="S17" s="18">
        <f t="shared" si="3"/>
        <v>0</v>
      </c>
      <c r="T17" s="16"/>
      <c r="U17" s="19"/>
      <c r="V17" s="14"/>
      <c r="W17" s="16"/>
      <c r="X17" s="18">
        <f t="shared" si="4"/>
        <v>0</v>
      </c>
      <c r="Y17" s="16"/>
      <c r="Z17" s="19"/>
      <c r="AA17" s="14"/>
      <c r="AB17" s="16"/>
      <c r="AC17" s="18">
        <f t="shared" si="5"/>
        <v>0</v>
      </c>
      <c r="AD17" s="16"/>
      <c r="AE17" s="19"/>
      <c r="AF17" s="14"/>
      <c r="AG17" s="16"/>
      <c r="AH17" s="18">
        <f t="shared" si="6"/>
        <v>0</v>
      </c>
      <c r="AI17" s="16"/>
      <c r="AJ17" s="19"/>
      <c r="AK17" s="14"/>
      <c r="AL17" s="16"/>
      <c r="AM17" s="18">
        <f t="shared" si="7"/>
        <v>0</v>
      </c>
      <c r="AN17" s="16"/>
      <c r="AO17" s="19"/>
      <c r="AP17" s="14"/>
      <c r="AQ17" s="16"/>
      <c r="AR17" s="18">
        <f t="shared" si="8"/>
        <v>0</v>
      </c>
      <c r="AS17" s="16"/>
      <c r="AT17" s="19"/>
      <c r="AU17" s="14"/>
      <c r="AV17" s="16"/>
      <c r="AW17" s="18">
        <f t="shared" si="9"/>
        <v>0</v>
      </c>
      <c r="AX17" s="16"/>
      <c r="AY17" s="19"/>
      <c r="AZ17" s="14"/>
      <c r="BA17" s="16"/>
      <c r="BB17" s="18">
        <f t="shared" si="10"/>
        <v>0</v>
      </c>
      <c r="BC17" s="16"/>
      <c r="BD17" s="19"/>
      <c r="BE17" s="14"/>
      <c r="BF17" s="16"/>
      <c r="BG17" s="18">
        <f t="shared" si="11"/>
        <v>0</v>
      </c>
      <c r="BH17" s="16"/>
      <c r="BI17" s="19"/>
      <c r="BJ17" s="14"/>
      <c r="BK17" s="16"/>
      <c r="BL17" s="18">
        <f t="shared" si="12"/>
        <v>0</v>
      </c>
      <c r="BM17" s="16"/>
      <c r="BN17" s="19"/>
      <c r="BO17" s="14"/>
      <c r="BP17" s="16"/>
      <c r="BQ17" s="18">
        <f t="shared" si="13"/>
        <v>0</v>
      </c>
      <c r="BR17" s="16"/>
      <c r="BS17" s="19"/>
      <c r="BT17" s="16">
        <f t="shared" si="14"/>
        <v>0</v>
      </c>
      <c r="BU17" s="14"/>
      <c r="BV17" s="16"/>
      <c r="BW17" s="18">
        <f t="shared" si="15"/>
        <v>0</v>
      </c>
      <c r="BX17" s="16"/>
      <c r="BY17" s="19"/>
      <c r="BZ17" s="14"/>
      <c r="CA17" s="16"/>
      <c r="CB17" s="18">
        <f t="shared" si="16"/>
        <v>0</v>
      </c>
      <c r="CC17" s="16"/>
      <c r="CD17" s="19"/>
      <c r="CE17" s="14"/>
      <c r="CF17" s="16"/>
      <c r="CG17" s="18">
        <f t="shared" si="17"/>
        <v>0</v>
      </c>
      <c r="CH17" s="16"/>
      <c r="CI17" s="19"/>
      <c r="CJ17" s="14"/>
      <c r="CK17" s="16"/>
      <c r="CL17" s="18">
        <f t="shared" si="18"/>
        <v>0</v>
      </c>
      <c r="CM17" s="16"/>
      <c r="CN17" s="19"/>
      <c r="CO17" s="14"/>
      <c r="CP17" s="16"/>
      <c r="CQ17" s="18">
        <f t="shared" si="19"/>
        <v>0</v>
      </c>
      <c r="CR17" s="16"/>
      <c r="CS17" s="19"/>
      <c r="CT17" s="14"/>
      <c r="CU17" s="16"/>
      <c r="CV17" s="18">
        <f t="shared" si="20"/>
        <v>0</v>
      </c>
      <c r="CW17" s="16"/>
      <c r="CX17" s="19"/>
      <c r="CY17" s="14"/>
      <c r="CZ17" s="16"/>
      <c r="DA17" s="18">
        <f t="shared" si="21"/>
        <v>0</v>
      </c>
      <c r="DB17" s="16"/>
      <c r="DC17" s="19"/>
      <c r="DD17" s="14"/>
      <c r="DE17" s="16"/>
      <c r="DF17" s="18">
        <f t="shared" si="22"/>
        <v>0</v>
      </c>
      <c r="DG17" s="16"/>
      <c r="DH17" s="19"/>
      <c r="DI17" s="14"/>
      <c r="DJ17" s="16"/>
      <c r="DK17" s="18">
        <f t="shared" si="23"/>
        <v>0</v>
      </c>
      <c r="DL17" s="16"/>
      <c r="DM17" s="19"/>
      <c r="DN17" s="14"/>
      <c r="DO17" s="16"/>
      <c r="DP17" s="18">
        <f t="shared" si="24"/>
        <v>0</v>
      </c>
      <c r="DQ17" s="16"/>
      <c r="DR17" s="19"/>
      <c r="DS17" s="14"/>
      <c r="DT17" s="16"/>
      <c r="DU17" s="18">
        <f t="shared" si="25"/>
        <v>0</v>
      </c>
      <c r="DV17" s="16"/>
      <c r="DW17" s="19"/>
      <c r="DX17" s="14"/>
      <c r="DY17" s="16"/>
      <c r="DZ17" s="18">
        <f t="shared" si="26"/>
        <v>0</v>
      </c>
      <c r="EA17" s="16"/>
      <c r="EB17" s="19"/>
      <c r="EC17" s="16">
        <f t="shared" si="27"/>
        <v>0</v>
      </c>
      <c r="ED17" s="14"/>
      <c r="EE17" s="16"/>
      <c r="EF17" s="18">
        <f t="shared" si="28"/>
        <v>0</v>
      </c>
      <c r="EG17" s="16"/>
      <c r="EH17" s="19"/>
      <c r="EI17" s="14"/>
      <c r="EJ17" s="16"/>
      <c r="EK17" s="18">
        <f t="shared" si="29"/>
        <v>0</v>
      </c>
      <c r="EL17" s="16"/>
      <c r="EM17" s="19"/>
      <c r="EN17" s="14"/>
      <c r="EO17" s="16"/>
      <c r="EP17" s="18">
        <f t="shared" si="30"/>
        <v>0</v>
      </c>
      <c r="EQ17" s="16"/>
      <c r="ER17" s="19"/>
      <c r="ES17" s="14"/>
      <c r="ET17" s="16"/>
      <c r="EU17" s="18">
        <f t="shared" si="31"/>
        <v>0</v>
      </c>
      <c r="EV17" s="16"/>
      <c r="EW17" s="19"/>
      <c r="EX17" s="14"/>
      <c r="EY17" s="16"/>
      <c r="EZ17" s="18">
        <f t="shared" si="32"/>
        <v>0</v>
      </c>
      <c r="FA17" s="16"/>
      <c r="FB17" s="19"/>
      <c r="FC17" s="14"/>
      <c r="FD17" s="16"/>
      <c r="FE17" s="18">
        <f t="shared" si="33"/>
        <v>0</v>
      </c>
      <c r="FF17" s="16"/>
      <c r="FG17" s="19"/>
      <c r="FH17" s="14"/>
      <c r="FI17" s="16"/>
      <c r="FJ17" s="18">
        <f t="shared" si="34"/>
        <v>0</v>
      </c>
      <c r="FK17" s="16"/>
      <c r="FL17" s="19"/>
      <c r="FM17" s="14"/>
      <c r="FN17" s="16"/>
      <c r="FO17" s="18">
        <f t="shared" si="35"/>
        <v>0</v>
      </c>
      <c r="FP17" s="16"/>
      <c r="FQ17" s="19"/>
      <c r="FR17" s="14"/>
      <c r="FS17" s="16"/>
      <c r="FT17" s="18">
        <f t="shared" si="36"/>
        <v>0</v>
      </c>
      <c r="FU17" s="16"/>
      <c r="FV17" s="19"/>
      <c r="FW17" s="14"/>
      <c r="FX17" s="16"/>
      <c r="FY17" s="18">
        <f t="shared" si="37"/>
        <v>0</v>
      </c>
      <c r="FZ17" s="16"/>
      <c r="GA17" s="19"/>
      <c r="GB17" s="14"/>
      <c r="GC17" s="16"/>
      <c r="GD17" s="18">
        <f t="shared" si="38"/>
        <v>0</v>
      </c>
      <c r="GE17" s="16"/>
      <c r="GF17" s="19"/>
      <c r="GG17" s="14"/>
      <c r="GH17" s="16"/>
      <c r="GI17" s="18">
        <f t="shared" si="39"/>
        <v>0</v>
      </c>
      <c r="GJ17" s="16"/>
      <c r="GK17" s="19"/>
    </row>
    <row r="18" spans="1:193">
      <c r="A18" s="12">
        <v>15</v>
      </c>
      <c r="B18" s="13">
        <f>[1]项目立项!C38</f>
        <v>0</v>
      </c>
      <c r="C18" s="13">
        <f>[1]项目立项!D38</f>
        <v>0</v>
      </c>
      <c r="D18" s="13">
        <f>[1]项目立项!E38</f>
        <v>0</v>
      </c>
      <c r="E18" s="13">
        <f>[1]项目立项!F38</f>
        <v>0</v>
      </c>
      <c r="F18" s="14"/>
      <c r="G18" s="15">
        <f t="shared" si="0"/>
        <v>0</v>
      </c>
      <c r="H18" s="16"/>
      <c r="I18" s="17"/>
      <c r="J18" s="16"/>
      <c r="K18" s="16">
        <f t="shared" si="1"/>
        <v>0</v>
      </c>
      <c r="L18" s="14"/>
      <c r="M18" s="16"/>
      <c r="N18" s="18">
        <f t="shared" si="2"/>
        <v>0</v>
      </c>
      <c r="O18" s="16"/>
      <c r="P18" s="19"/>
      <c r="Q18" s="14"/>
      <c r="R18" s="16"/>
      <c r="S18" s="18">
        <f t="shared" si="3"/>
        <v>0</v>
      </c>
      <c r="T18" s="16"/>
      <c r="U18" s="19"/>
      <c r="V18" s="14"/>
      <c r="W18" s="16"/>
      <c r="X18" s="18">
        <f t="shared" si="4"/>
        <v>0</v>
      </c>
      <c r="Y18" s="16"/>
      <c r="Z18" s="19"/>
      <c r="AA18" s="14"/>
      <c r="AB18" s="16"/>
      <c r="AC18" s="18">
        <f t="shared" si="5"/>
        <v>0</v>
      </c>
      <c r="AD18" s="16"/>
      <c r="AE18" s="19"/>
      <c r="AF18" s="14"/>
      <c r="AG18" s="16"/>
      <c r="AH18" s="18">
        <f t="shared" si="6"/>
        <v>0</v>
      </c>
      <c r="AI18" s="16"/>
      <c r="AJ18" s="19"/>
      <c r="AK18" s="14"/>
      <c r="AL18" s="16"/>
      <c r="AM18" s="18">
        <f t="shared" si="7"/>
        <v>0</v>
      </c>
      <c r="AN18" s="16"/>
      <c r="AO18" s="19"/>
      <c r="AP18" s="14"/>
      <c r="AQ18" s="16"/>
      <c r="AR18" s="18">
        <f t="shared" si="8"/>
        <v>0</v>
      </c>
      <c r="AS18" s="16"/>
      <c r="AT18" s="19"/>
      <c r="AU18" s="14"/>
      <c r="AV18" s="16"/>
      <c r="AW18" s="18">
        <f t="shared" si="9"/>
        <v>0</v>
      </c>
      <c r="AX18" s="16"/>
      <c r="AY18" s="19"/>
      <c r="AZ18" s="14"/>
      <c r="BA18" s="16"/>
      <c r="BB18" s="18">
        <f t="shared" si="10"/>
        <v>0</v>
      </c>
      <c r="BC18" s="16"/>
      <c r="BD18" s="19"/>
      <c r="BE18" s="14"/>
      <c r="BF18" s="16"/>
      <c r="BG18" s="18">
        <f t="shared" si="11"/>
        <v>0</v>
      </c>
      <c r="BH18" s="16"/>
      <c r="BI18" s="19"/>
      <c r="BJ18" s="14"/>
      <c r="BK18" s="16"/>
      <c r="BL18" s="18">
        <f t="shared" si="12"/>
        <v>0</v>
      </c>
      <c r="BM18" s="16"/>
      <c r="BN18" s="19"/>
      <c r="BO18" s="14"/>
      <c r="BP18" s="16"/>
      <c r="BQ18" s="18">
        <f t="shared" si="13"/>
        <v>0</v>
      </c>
      <c r="BR18" s="16"/>
      <c r="BS18" s="19"/>
      <c r="BT18" s="16">
        <f t="shared" si="14"/>
        <v>0</v>
      </c>
      <c r="BU18" s="14"/>
      <c r="BV18" s="16"/>
      <c r="BW18" s="18">
        <f t="shared" si="15"/>
        <v>0</v>
      </c>
      <c r="BX18" s="16"/>
      <c r="BY18" s="19"/>
      <c r="BZ18" s="14"/>
      <c r="CA18" s="16"/>
      <c r="CB18" s="18">
        <f t="shared" si="16"/>
        <v>0</v>
      </c>
      <c r="CC18" s="16"/>
      <c r="CD18" s="19"/>
      <c r="CE18" s="14"/>
      <c r="CF18" s="16"/>
      <c r="CG18" s="18">
        <f t="shared" si="17"/>
        <v>0</v>
      </c>
      <c r="CH18" s="16"/>
      <c r="CI18" s="19"/>
      <c r="CJ18" s="14"/>
      <c r="CK18" s="16"/>
      <c r="CL18" s="18">
        <f t="shared" si="18"/>
        <v>0</v>
      </c>
      <c r="CM18" s="16"/>
      <c r="CN18" s="19"/>
      <c r="CO18" s="14"/>
      <c r="CP18" s="16"/>
      <c r="CQ18" s="18">
        <f t="shared" si="19"/>
        <v>0</v>
      </c>
      <c r="CR18" s="16"/>
      <c r="CS18" s="19"/>
      <c r="CT18" s="14"/>
      <c r="CU18" s="16"/>
      <c r="CV18" s="18">
        <f t="shared" si="20"/>
        <v>0</v>
      </c>
      <c r="CW18" s="16"/>
      <c r="CX18" s="19"/>
      <c r="CY18" s="14"/>
      <c r="CZ18" s="16"/>
      <c r="DA18" s="18">
        <f t="shared" si="21"/>
        <v>0</v>
      </c>
      <c r="DB18" s="16"/>
      <c r="DC18" s="19"/>
      <c r="DD18" s="14"/>
      <c r="DE18" s="16"/>
      <c r="DF18" s="18">
        <f t="shared" si="22"/>
        <v>0</v>
      </c>
      <c r="DG18" s="16"/>
      <c r="DH18" s="19"/>
      <c r="DI18" s="14"/>
      <c r="DJ18" s="16"/>
      <c r="DK18" s="18">
        <f t="shared" si="23"/>
        <v>0</v>
      </c>
      <c r="DL18" s="16"/>
      <c r="DM18" s="19"/>
      <c r="DN18" s="14"/>
      <c r="DO18" s="16"/>
      <c r="DP18" s="18">
        <f t="shared" si="24"/>
        <v>0</v>
      </c>
      <c r="DQ18" s="16"/>
      <c r="DR18" s="19"/>
      <c r="DS18" s="14"/>
      <c r="DT18" s="16"/>
      <c r="DU18" s="18">
        <f t="shared" si="25"/>
        <v>0</v>
      </c>
      <c r="DV18" s="16"/>
      <c r="DW18" s="19"/>
      <c r="DX18" s="14"/>
      <c r="DY18" s="16"/>
      <c r="DZ18" s="18">
        <f t="shared" si="26"/>
        <v>0</v>
      </c>
      <c r="EA18" s="16"/>
      <c r="EB18" s="19"/>
      <c r="EC18" s="16">
        <f t="shared" si="27"/>
        <v>0</v>
      </c>
      <c r="ED18" s="14"/>
      <c r="EE18" s="16"/>
      <c r="EF18" s="18">
        <f t="shared" si="28"/>
        <v>0</v>
      </c>
      <c r="EG18" s="16"/>
      <c r="EH18" s="19"/>
      <c r="EI18" s="14"/>
      <c r="EJ18" s="16"/>
      <c r="EK18" s="18">
        <f t="shared" si="29"/>
        <v>0</v>
      </c>
      <c r="EL18" s="16"/>
      <c r="EM18" s="19"/>
      <c r="EN18" s="14"/>
      <c r="EO18" s="16"/>
      <c r="EP18" s="18">
        <f t="shared" si="30"/>
        <v>0</v>
      </c>
      <c r="EQ18" s="16"/>
      <c r="ER18" s="19"/>
      <c r="ES18" s="14"/>
      <c r="ET18" s="16"/>
      <c r="EU18" s="18">
        <f t="shared" si="31"/>
        <v>0</v>
      </c>
      <c r="EV18" s="16"/>
      <c r="EW18" s="19"/>
      <c r="EX18" s="14"/>
      <c r="EY18" s="16"/>
      <c r="EZ18" s="18">
        <f t="shared" si="32"/>
        <v>0</v>
      </c>
      <c r="FA18" s="16"/>
      <c r="FB18" s="19"/>
      <c r="FC18" s="14"/>
      <c r="FD18" s="16"/>
      <c r="FE18" s="18">
        <f t="shared" si="33"/>
        <v>0</v>
      </c>
      <c r="FF18" s="16"/>
      <c r="FG18" s="19"/>
      <c r="FH18" s="14"/>
      <c r="FI18" s="16"/>
      <c r="FJ18" s="18">
        <f t="shared" si="34"/>
        <v>0</v>
      </c>
      <c r="FK18" s="16"/>
      <c r="FL18" s="19"/>
      <c r="FM18" s="14"/>
      <c r="FN18" s="16"/>
      <c r="FO18" s="18">
        <f t="shared" si="35"/>
        <v>0</v>
      </c>
      <c r="FP18" s="16"/>
      <c r="FQ18" s="19"/>
      <c r="FR18" s="14"/>
      <c r="FS18" s="16"/>
      <c r="FT18" s="18">
        <f t="shared" si="36"/>
        <v>0</v>
      </c>
      <c r="FU18" s="16"/>
      <c r="FV18" s="19"/>
      <c r="FW18" s="14"/>
      <c r="FX18" s="16"/>
      <c r="FY18" s="18">
        <f t="shared" si="37"/>
        <v>0</v>
      </c>
      <c r="FZ18" s="16"/>
      <c r="GA18" s="19"/>
      <c r="GB18" s="14"/>
      <c r="GC18" s="16"/>
      <c r="GD18" s="18">
        <f t="shared" si="38"/>
        <v>0</v>
      </c>
      <c r="GE18" s="16"/>
      <c r="GF18" s="19"/>
      <c r="GG18" s="14"/>
      <c r="GH18" s="16"/>
      <c r="GI18" s="18">
        <f t="shared" si="39"/>
        <v>0</v>
      </c>
      <c r="GJ18" s="16"/>
      <c r="GK18" s="19"/>
    </row>
    <row r="19" spans="1:193">
      <c r="A19" s="12">
        <v>16</v>
      </c>
      <c r="B19" s="13">
        <f>[1]项目立项!C39</f>
        <v>0</v>
      </c>
      <c r="C19" s="13">
        <f>[1]项目立项!D39</f>
        <v>0</v>
      </c>
      <c r="D19" s="13">
        <f>[1]项目立项!E39</f>
        <v>0</v>
      </c>
      <c r="E19" s="13">
        <f>[1]项目立项!F39</f>
        <v>0</v>
      </c>
      <c r="F19" s="14"/>
      <c r="G19" s="15">
        <f t="shared" si="0"/>
        <v>0</v>
      </c>
      <c r="H19" s="16"/>
      <c r="I19" s="17"/>
      <c r="J19" s="16"/>
      <c r="K19" s="16">
        <f t="shared" si="1"/>
        <v>0</v>
      </c>
      <c r="L19" s="14"/>
      <c r="M19" s="16"/>
      <c r="N19" s="18">
        <f t="shared" si="2"/>
        <v>0</v>
      </c>
      <c r="O19" s="16"/>
      <c r="P19" s="19"/>
      <c r="Q19" s="14"/>
      <c r="R19" s="16"/>
      <c r="S19" s="18">
        <f t="shared" si="3"/>
        <v>0</v>
      </c>
      <c r="T19" s="16"/>
      <c r="U19" s="19"/>
      <c r="V19" s="14"/>
      <c r="W19" s="16"/>
      <c r="X19" s="18">
        <f t="shared" si="4"/>
        <v>0</v>
      </c>
      <c r="Y19" s="16"/>
      <c r="Z19" s="19"/>
      <c r="AA19" s="14"/>
      <c r="AB19" s="16"/>
      <c r="AC19" s="18">
        <f t="shared" si="5"/>
        <v>0</v>
      </c>
      <c r="AD19" s="16"/>
      <c r="AE19" s="19"/>
      <c r="AF19" s="14"/>
      <c r="AG19" s="16"/>
      <c r="AH19" s="18">
        <f t="shared" si="6"/>
        <v>0</v>
      </c>
      <c r="AI19" s="16"/>
      <c r="AJ19" s="19"/>
      <c r="AK19" s="14"/>
      <c r="AL19" s="16"/>
      <c r="AM19" s="18">
        <f t="shared" si="7"/>
        <v>0</v>
      </c>
      <c r="AN19" s="16"/>
      <c r="AO19" s="19"/>
      <c r="AP19" s="14"/>
      <c r="AQ19" s="16"/>
      <c r="AR19" s="18">
        <f t="shared" si="8"/>
        <v>0</v>
      </c>
      <c r="AS19" s="16"/>
      <c r="AT19" s="19"/>
      <c r="AU19" s="14"/>
      <c r="AV19" s="16"/>
      <c r="AW19" s="18">
        <f t="shared" si="9"/>
        <v>0</v>
      </c>
      <c r="AX19" s="16"/>
      <c r="AY19" s="19"/>
      <c r="AZ19" s="14"/>
      <c r="BA19" s="16"/>
      <c r="BB19" s="18">
        <f t="shared" si="10"/>
        <v>0</v>
      </c>
      <c r="BC19" s="16"/>
      <c r="BD19" s="19"/>
      <c r="BE19" s="14"/>
      <c r="BF19" s="16"/>
      <c r="BG19" s="18">
        <f t="shared" si="11"/>
        <v>0</v>
      </c>
      <c r="BH19" s="16"/>
      <c r="BI19" s="19"/>
      <c r="BJ19" s="14"/>
      <c r="BK19" s="16"/>
      <c r="BL19" s="18">
        <f t="shared" si="12"/>
        <v>0</v>
      </c>
      <c r="BM19" s="16"/>
      <c r="BN19" s="19"/>
      <c r="BO19" s="14"/>
      <c r="BP19" s="16"/>
      <c r="BQ19" s="18">
        <f t="shared" si="13"/>
        <v>0</v>
      </c>
      <c r="BR19" s="16"/>
      <c r="BS19" s="19"/>
      <c r="BT19" s="16">
        <f t="shared" si="14"/>
        <v>0</v>
      </c>
      <c r="BU19" s="14"/>
      <c r="BV19" s="16"/>
      <c r="BW19" s="18">
        <f t="shared" si="15"/>
        <v>0</v>
      </c>
      <c r="BX19" s="16"/>
      <c r="BY19" s="19"/>
      <c r="BZ19" s="14"/>
      <c r="CA19" s="16"/>
      <c r="CB19" s="18">
        <f t="shared" si="16"/>
        <v>0</v>
      </c>
      <c r="CC19" s="16"/>
      <c r="CD19" s="19"/>
      <c r="CE19" s="14"/>
      <c r="CF19" s="16"/>
      <c r="CG19" s="18">
        <f t="shared" si="17"/>
        <v>0</v>
      </c>
      <c r="CH19" s="16"/>
      <c r="CI19" s="19"/>
      <c r="CJ19" s="14"/>
      <c r="CK19" s="16"/>
      <c r="CL19" s="18">
        <f t="shared" si="18"/>
        <v>0</v>
      </c>
      <c r="CM19" s="16"/>
      <c r="CN19" s="19"/>
      <c r="CO19" s="14"/>
      <c r="CP19" s="16"/>
      <c r="CQ19" s="18">
        <f t="shared" si="19"/>
        <v>0</v>
      </c>
      <c r="CR19" s="16"/>
      <c r="CS19" s="19"/>
      <c r="CT19" s="14"/>
      <c r="CU19" s="16"/>
      <c r="CV19" s="18">
        <f t="shared" si="20"/>
        <v>0</v>
      </c>
      <c r="CW19" s="16"/>
      <c r="CX19" s="19"/>
      <c r="CY19" s="14"/>
      <c r="CZ19" s="16"/>
      <c r="DA19" s="18">
        <f t="shared" si="21"/>
        <v>0</v>
      </c>
      <c r="DB19" s="16"/>
      <c r="DC19" s="19"/>
      <c r="DD19" s="14"/>
      <c r="DE19" s="16"/>
      <c r="DF19" s="18">
        <f t="shared" si="22"/>
        <v>0</v>
      </c>
      <c r="DG19" s="16"/>
      <c r="DH19" s="19"/>
      <c r="DI19" s="14"/>
      <c r="DJ19" s="16"/>
      <c r="DK19" s="18">
        <f t="shared" si="23"/>
        <v>0</v>
      </c>
      <c r="DL19" s="16"/>
      <c r="DM19" s="19"/>
      <c r="DN19" s="14"/>
      <c r="DO19" s="16"/>
      <c r="DP19" s="18">
        <f t="shared" si="24"/>
        <v>0</v>
      </c>
      <c r="DQ19" s="16"/>
      <c r="DR19" s="19"/>
      <c r="DS19" s="14"/>
      <c r="DT19" s="16"/>
      <c r="DU19" s="18">
        <f t="shared" si="25"/>
        <v>0</v>
      </c>
      <c r="DV19" s="16"/>
      <c r="DW19" s="19"/>
      <c r="DX19" s="14"/>
      <c r="DY19" s="16"/>
      <c r="DZ19" s="18">
        <f t="shared" si="26"/>
        <v>0</v>
      </c>
      <c r="EA19" s="16"/>
      <c r="EB19" s="19"/>
      <c r="EC19" s="16">
        <f t="shared" si="27"/>
        <v>0</v>
      </c>
      <c r="ED19" s="14"/>
      <c r="EE19" s="16"/>
      <c r="EF19" s="18">
        <f t="shared" si="28"/>
        <v>0</v>
      </c>
      <c r="EG19" s="16"/>
      <c r="EH19" s="19"/>
      <c r="EI19" s="14"/>
      <c r="EJ19" s="16"/>
      <c r="EK19" s="18">
        <f t="shared" si="29"/>
        <v>0</v>
      </c>
      <c r="EL19" s="16"/>
      <c r="EM19" s="19"/>
      <c r="EN19" s="14"/>
      <c r="EO19" s="16"/>
      <c r="EP19" s="18">
        <f t="shared" si="30"/>
        <v>0</v>
      </c>
      <c r="EQ19" s="16"/>
      <c r="ER19" s="19"/>
      <c r="ES19" s="14"/>
      <c r="ET19" s="16"/>
      <c r="EU19" s="18">
        <f t="shared" si="31"/>
        <v>0</v>
      </c>
      <c r="EV19" s="16"/>
      <c r="EW19" s="19"/>
      <c r="EX19" s="14"/>
      <c r="EY19" s="16"/>
      <c r="EZ19" s="18">
        <f t="shared" si="32"/>
        <v>0</v>
      </c>
      <c r="FA19" s="16"/>
      <c r="FB19" s="19"/>
      <c r="FC19" s="14"/>
      <c r="FD19" s="16"/>
      <c r="FE19" s="18">
        <f t="shared" si="33"/>
        <v>0</v>
      </c>
      <c r="FF19" s="16"/>
      <c r="FG19" s="19"/>
      <c r="FH19" s="14"/>
      <c r="FI19" s="16"/>
      <c r="FJ19" s="18">
        <f t="shared" si="34"/>
        <v>0</v>
      </c>
      <c r="FK19" s="16"/>
      <c r="FL19" s="19"/>
      <c r="FM19" s="14"/>
      <c r="FN19" s="16"/>
      <c r="FO19" s="18">
        <f t="shared" si="35"/>
        <v>0</v>
      </c>
      <c r="FP19" s="16"/>
      <c r="FQ19" s="19"/>
      <c r="FR19" s="14"/>
      <c r="FS19" s="16"/>
      <c r="FT19" s="18">
        <f t="shared" si="36"/>
        <v>0</v>
      </c>
      <c r="FU19" s="16"/>
      <c r="FV19" s="19"/>
      <c r="FW19" s="14"/>
      <c r="FX19" s="16"/>
      <c r="FY19" s="18">
        <f t="shared" si="37"/>
        <v>0</v>
      </c>
      <c r="FZ19" s="16"/>
      <c r="GA19" s="19"/>
      <c r="GB19" s="14"/>
      <c r="GC19" s="16"/>
      <c r="GD19" s="18">
        <f t="shared" si="38"/>
        <v>0</v>
      </c>
      <c r="GE19" s="16"/>
      <c r="GF19" s="19"/>
      <c r="GG19" s="14"/>
      <c r="GH19" s="16"/>
      <c r="GI19" s="18">
        <f t="shared" si="39"/>
        <v>0</v>
      </c>
      <c r="GJ19" s="16"/>
      <c r="GK19" s="19"/>
    </row>
    <row r="20" spans="1:193">
      <c r="A20" s="12">
        <v>17</v>
      </c>
      <c r="B20" s="13">
        <f>[1]项目立项!C40</f>
        <v>0</v>
      </c>
      <c r="C20" s="13">
        <f>[1]项目立项!D40</f>
        <v>0</v>
      </c>
      <c r="D20" s="13">
        <f>[1]项目立项!E40</f>
        <v>0</v>
      </c>
      <c r="E20" s="13">
        <f>[1]项目立项!F40</f>
        <v>0</v>
      </c>
      <c r="F20" s="14"/>
      <c r="G20" s="15">
        <f t="shared" si="0"/>
        <v>0</v>
      </c>
      <c r="H20" s="16"/>
      <c r="I20" s="17"/>
      <c r="J20" s="16"/>
      <c r="K20" s="16">
        <f t="shared" si="1"/>
        <v>0</v>
      </c>
      <c r="L20" s="14"/>
      <c r="M20" s="16"/>
      <c r="N20" s="18">
        <f t="shared" si="2"/>
        <v>0</v>
      </c>
      <c r="O20" s="16"/>
      <c r="P20" s="19"/>
      <c r="Q20" s="14"/>
      <c r="R20" s="16"/>
      <c r="S20" s="18">
        <f t="shared" si="3"/>
        <v>0</v>
      </c>
      <c r="T20" s="16"/>
      <c r="U20" s="19"/>
      <c r="V20" s="14"/>
      <c r="W20" s="16"/>
      <c r="X20" s="18">
        <f t="shared" si="4"/>
        <v>0</v>
      </c>
      <c r="Y20" s="16"/>
      <c r="Z20" s="19"/>
      <c r="AA20" s="14"/>
      <c r="AB20" s="16"/>
      <c r="AC20" s="18">
        <f t="shared" si="5"/>
        <v>0</v>
      </c>
      <c r="AD20" s="16"/>
      <c r="AE20" s="19"/>
      <c r="AF20" s="14"/>
      <c r="AG20" s="16"/>
      <c r="AH20" s="18">
        <f t="shared" si="6"/>
        <v>0</v>
      </c>
      <c r="AI20" s="16"/>
      <c r="AJ20" s="19"/>
      <c r="AK20" s="14"/>
      <c r="AL20" s="16"/>
      <c r="AM20" s="18">
        <f t="shared" si="7"/>
        <v>0</v>
      </c>
      <c r="AN20" s="16"/>
      <c r="AO20" s="19"/>
      <c r="AP20" s="14"/>
      <c r="AQ20" s="16"/>
      <c r="AR20" s="18">
        <f t="shared" si="8"/>
        <v>0</v>
      </c>
      <c r="AS20" s="16"/>
      <c r="AT20" s="19"/>
      <c r="AU20" s="14"/>
      <c r="AV20" s="16"/>
      <c r="AW20" s="18">
        <f t="shared" si="9"/>
        <v>0</v>
      </c>
      <c r="AX20" s="16"/>
      <c r="AY20" s="19"/>
      <c r="AZ20" s="14"/>
      <c r="BA20" s="16"/>
      <c r="BB20" s="18">
        <f t="shared" si="10"/>
        <v>0</v>
      </c>
      <c r="BC20" s="16"/>
      <c r="BD20" s="19"/>
      <c r="BE20" s="14"/>
      <c r="BF20" s="16"/>
      <c r="BG20" s="18">
        <f t="shared" si="11"/>
        <v>0</v>
      </c>
      <c r="BH20" s="16"/>
      <c r="BI20" s="19"/>
      <c r="BJ20" s="14"/>
      <c r="BK20" s="16"/>
      <c r="BL20" s="18">
        <f t="shared" si="12"/>
        <v>0</v>
      </c>
      <c r="BM20" s="16"/>
      <c r="BN20" s="19"/>
      <c r="BO20" s="14"/>
      <c r="BP20" s="16"/>
      <c r="BQ20" s="18">
        <f t="shared" si="13"/>
        <v>0</v>
      </c>
      <c r="BR20" s="16"/>
      <c r="BS20" s="19"/>
      <c r="BT20" s="16">
        <f t="shared" si="14"/>
        <v>0</v>
      </c>
      <c r="BU20" s="14"/>
      <c r="BV20" s="16"/>
      <c r="BW20" s="18">
        <f t="shared" si="15"/>
        <v>0</v>
      </c>
      <c r="BX20" s="16"/>
      <c r="BY20" s="19"/>
      <c r="BZ20" s="14"/>
      <c r="CA20" s="16"/>
      <c r="CB20" s="18">
        <f t="shared" si="16"/>
        <v>0</v>
      </c>
      <c r="CC20" s="16"/>
      <c r="CD20" s="19"/>
      <c r="CE20" s="14"/>
      <c r="CF20" s="16"/>
      <c r="CG20" s="18">
        <f t="shared" si="17"/>
        <v>0</v>
      </c>
      <c r="CH20" s="16"/>
      <c r="CI20" s="19"/>
      <c r="CJ20" s="14"/>
      <c r="CK20" s="16"/>
      <c r="CL20" s="18">
        <f t="shared" si="18"/>
        <v>0</v>
      </c>
      <c r="CM20" s="16"/>
      <c r="CN20" s="19"/>
      <c r="CO20" s="14"/>
      <c r="CP20" s="16"/>
      <c r="CQ20" s="18">
        <f t="shared" si="19"/>
        <v>0</v>
      </c>
      <c r="CR20" s="16"/>
      <c r="CS20" s="19"/>
      <c r="CT20" s="14"/>
      <c r="CU20" s="16"/>
      <c r="CV20" s="18">
        <f t="shared" si="20"/>
        <v>0</v>
      </c>
      <c r="CW20" s="16"/>
      <c r="CX20" s="19"/>
      <c r="CY20" s="14"/>
      <c r="CZ20" s="16"/>
      <c r="DA20" s="18">
        <f t="shared" si="21"/>
        <v>0</v>
      </c>
      <c r="DB20" s="16"/>
      <c r="DC20" s="19"/>
      <c r="DD20" s="14"/>
      <c r="DE20" s="16"/>
      <c r="DF20" s="18">
        <f t="shared" si="22"/>
        <v>0</v>
      </c>
      <c r="DG20" s="16"/>
      <c r="DH20" s="19"/>
      <c r="DI20" s="14"/>
      <c r="DJ20" s="16"/>
      <c r="DK20" s="18">
        <f t="shared" si="23"/>
        <v>0</v>
      </c>
      <c r="DL20" s="16"/>
      <c r="DM20" s="19"/>
      <c r="DN20" s="14"/>
      <c r="DO20" s="16"/>
      <c r="DP20" s="18">
        <f t="shared" si="24"/>
        <v>0</v>
      </c>
      <c r="DQ20" s="16"/>
      <c r="DR20" s="19"/>
      <c r="DS20" s="14"/>
      <c r="DT20" s="16"/>
      <c r="DU20" s="18">
        <f t="shared" si="25"/>
        <v>0</v>
      </c>
      <c r="DV20" s="16"/>
      <c r="DW20" s="19"/>
      <c r="DX20" s="14"/>
      <c r="DY20" s="16"/>
      <c r="DZ20" s="18">
        <f t="shared" si="26"/>
        <v>0</v>
      </c>
      <c r="EA20" s="16"/>
      <c r="EB20" s="19"/>
      <c r="EC20" s="16">
        <f t="shared" si="27"/>
        <v>0</v>
      </c>
      <c r="ED20" s="14"/>
      <c r="EE20" s="16"/>
      <c r="EF20" s="18">
        <f t="shared" si="28"/>
        <v>0</v>
      </c>
      <c r="EG20" s="16"/>
      <c r="EH20" s="19"/>
      <c r="EI20" s="14"/>
      <c r="EJ20" s="16"/>
      <c r="EK20" s="18">
        <f t="shared" si="29"/>
        <v>0</v>
      </c>
      <c r="EL20" s="16"/>
      <c r="EM20" s="19"/>
      <c r="EN20" s="14"/>
      <c r="EO20" s="16"/>
      <c r="EP20" s="18">
        <f t="shared" si="30"/>
        <v>0</v>
      </c>
      <c r="EQ20" s="16"/>
      <c r="ER20" s="19"/>
      <c r="ES20" s="14"/>
      <c r="ET20" s="16"/>
      <c r="EU20" s="18">
        <f t="shared" si="31"/>
        <v>0</v>
      </c>
      <c r="EV20" s="16"/>
      <c r="EW20" s="19"/>
      <c r="EX20" s="14"/>
      <c r="EY20" s="16"/>
      <c r="EZ20" s="18">
        <f t="shared" si="32"/>
        <v>0</v>
      </c>
      <c r="FA20" s="16"/>
      <c r="FB20" s="19"/>
      <c r="FC20" s="14"/>
      <c r="FD20" s="16"/>
      <c r="FE20" s="18">
        <f t="shared" si="33"/>
        <v>0</v>
      </c>
      <c r="FF20" s="16"/>
      <c r="FG20" s="19"/>
      <c r="FH20" s="14"/>
      <c r="FI20" s="16"/>
      <c r="FJ20" s="18">
        <f t="shared" si="34"/>
        <v>0</v>
      </c>
      <c r="FK20" s="16"/>
      <c r="FL20" s="19"/>
      <c r="FM20" s="14"/>
      <c r="FN20" s="16"/>
      <c r="FO20" s="18">
        <f t="shared" si="35"/>
        <v>0</v>
      </c>
      <c r="FP20" s="16"/>
      <c r="FQ20" s="19"/>
      <c r="FR20" s="14"/>
      <c r="FS20" s="16"/>
      <c r="FT20" s="18">
        <f t="shared" si="36"/>
        <v>0</v>
      </c>
      <c r="FU20" s="16"/>
      <c r="FV20" s="19"/>
      <c r="FW20" s="14"/>
      <c r="FX20" s="16"/>
      <c r="FY20" s="18">
        <f t="shared" si="37"/>
        <v>0</v>
      </c>
      <c r="FZ20" s="16"/>
      <c r="GA20" s="19"/>
      <c r="GB20" s="14"/>
      <c r="GC20" s="16"/>
      <c r="GD20" s="18">
        <f t="shared" si="38"/>
        <v>0</v>
      </c>
      <c r="GE20" s="16"/>
      <c r="GF20" s="19"/>
      <c r="GG20" s="14"/>
      <c r="GH20" s="16"/>
      <c r="GI20" s="18">
        <f t="shared" si="39"/>
        <v>0</v>
      </c>
      <c r="GJ20" s="16"/>
      <c r="GK20" s="19"/>
    </row>
    <row r="21" spans="1:193">
      <c r="A21" s="12">
        <v>18</v>
      </c>
      <c r="B21" s="13">
        <f>[1]项目立项!C41</f>
        <v>0</v>
      </c>
      <c r="C21" s="13">
        <f>[1]项目立项!D41</f>
        <v>0</v>
      </c>
      <c r="D21" s="13">
        <f>[1]项目立项!E41</f>
        <v>0</v>
      </c>
      <c r="E21" s="13">
        <f>[1]项目立项!F41</f>
        <v>0</v>
      </c>
      <c r="F21" s="14"/>
      <c r="G21" s="15">
        <f t="shared" si="0"/>
        <v>0</v>
      </c>
      <c r="H21" s="16"/>
      <c r="I21" s="17"/>
      <c r="J21" s="16"/>
      <c r="K21" s="16">
        <f t="shared" si="1"/>
        <v>0</v>
      </c>
      <c r="L21" s="14"/>
      <c r="M21" s="16"/>
      <c r="N21" s="18">
        <f t="shared" si="2"/>
        <v>0</v>
      </c>
      <c r="O21" s="16"/>
      <c r="P21" s="19"/>
      <c r="Q21" s="14"/>
      <c r="R21" s="16"/>
      <c r="S21" s="18">
        <f t="shared" si="3"/>
        <v>0</v>
      </c>
      <c r="T21" s="16"/>
      <c r="U21" s="19"/>
      <c r="V21" s="14"/>
      <c r="W21" s="16"/>
      <c r="X21" s="18">
        <f t="shared" si="4"/>
        <v>0</v>
      </c>
      <c r="Y21" s="16"/>
      <c r="Z21" s="19"/>
      <c r="AA21" s="14"/>
      <c r="AB21" s="16"/>
      <c r="AC21" s="18">
        <f t="shared" si="5"/>
        <v>0</v>
      </c>
      <c r="AD21" s="16"/>
      <c r="AE21" s="19"/>
      <c r="AF21" s="14"/>
      <c r="AG21" s="16"/>
      <c r="AH21" s="18">
        <f t="shared" si="6"/>
        <v>0</v>
      </c>
      <c r="AI21" s="16"/>
      <c r="AJ21" s="19"/>
      <c r="AK21" s="14"/>
      <c r="AL21" s="16"/>
      <c r="AM21" s="18">
        <f t="shared" si="7"/>
        <v>0</v>
      </c>
      <c r="AN21" s="16"/>
      <c r="AO21" s="19"/>
      <c r="AP21" s="14"/>
      <c r="AQ21" s="16"/>
      <c r="AR21" s="18">
        <f t="shared" si="8"/>
        <v>0</v>
      </c>
      <c r="AS21" s="16"/>
      <c r="AT21" s="19"/>
      <c r="AU21" s="14"/>
      <c r="AV21" s="16"/>
      <c r="AW21" s="18">
        <f t="shared" si="9"/>
        <v>0</v>
      </c>
      <c r="AX21" s="16"/>
      <c r="AY21" s="19"/>
      <c r="AZ21" s="14"/>
      <c r="BA21" s="16"/>
      <c r="BB21" s="18">
        <f t="shared" si="10"/>
        <v>0</v>
      </c>
      <c r="BC21" s="16"/>
      <c r="BD21" s="19"/>
      <c r="BE21" s="14"/>
      <c r="BF21" s="16"/>
      <c r="BG21" s="18">
        <f t="shared" si="11"/>
        <v>0</v>
      </c>
      <c r="BH21" s="16"/>
      <c r="BI21" s="19"/>
      <c r="BJ21" s="14"/>
      <c r="BK21" s="16"/>
      <c r="BL21" s="18">
        <f t="shared" si="12"/>
        <v>0</v>
      </c>
      <c r="BM21" s="16"/>
      <c r="BN21" s="19"/>
      <c r="BO21" s="14"/>
      <c r="BP21" s="16"/>
      <c r="BQ21" s="18">
        <f t="shared" si="13"/>
        <v>0</v>
      </c>
      <c r="BR21" s="16"/>
      <c r="BS21" s="19"/>
      <c r="BT21" s="16">
        <f t="shared" si="14"/>
        <v>0</v>
      </c>
      <c r="BU21" s="14"/>
      <c r="BV21" s="16"/>
      <c r="BW21" s="18">
        <f t="shared" si="15"/>
        <v>0</v>
      </c>
      <c r="BX21" s="16"/>
      <c r="BY21" s="19"/>
      <c r="BZ21" s="14"/>
      <c r="CA21" s="16"/>
      <c r="CB21" s="18">
        <f t="shared" si="16"/>
        <v>0</v>
      </c>
      <c r="CC21" s="16"/>
      <c r="CD21" s="19"/>
      <c r="CE21" s="14"/>
      <c r="CF21" s="16"/>
      <c r="CG21" s="18">
        <f t="shared" si="17"/>
        <v>0</v>
      </c>
      <c r="CH21" s="16"/>
      <c r="CI21" s="19"/>
      <c r="CJ21" s="14"/>
      <c r="CK21" s="16"/>
      <c r="CL21" s="18">
        <f t="shared" si="18"/>
        <v>0</v>
      </c>
      <c r="CM21" s="16"/>
      <c r="CN21" s="19"/>
      <c r="CO21" s="14"/>
      <c r="CP21" s="16"/>
      <c r="CQ21" s="18">
        <f t="shared" si="19"/>
        <v>0</v>
      </c>
      <c r="CR21" s="16"/>
      <c r="CS21" s="19"/>
      <c r="CT21" s="14"/>
      <c r="CU21" s="16"/>
      <c r="CV21" s="18">
        <f t="shared" si="20"/>
        <v>0</v>
      </c>
      <c r="CW21" s="16"/>
      <c r="CX21" s="19"/>
      <c r="CY21" s="14"/>
      <c r="CZ21" s="16"/>
      <c r="DA21" s="18">
        <f t="shared" si="21"/>
        <v>0</v>
      </c>
      <c r="DB21" s="16"/>
      <c r="DC21" s="19"/>
      <c r="DD21" s="14"/>
      <c r="DE21" s="16"/>
      <c r="DF21" s="18">
        <f t="shared" si="22"/>
        <v>0</v>
      </c>
      <c r="DG21" s="16"/>
      <c r="DH21" s="19"/>
      <c r="DI21" s="14"/>
      <c r="DJ21" s="16"/>
      <c r="DK21" s="18">
        <f t="shared" si="23"/>
        <v>0</v>
      </c>
      <c r="DL21" s="16"/>
      <c r="DM21" s="19"/>
      <c r="DN21" s="14"/>
      <c r="DO21" s="16"/>
      <c r="DP21" s="18">
        <f t="shared" si="24"/>
        <v>0</v>
      </c>
      <c r="DQ21" s="16"/>
      <c r="DR21" s="19"/>
      <c r="DS21" s="14"/>
      <c r="DT21" s="16"/>
      <c r="DU21" s="18">
        <f t="shared" si="25"/>
        <v>0</v>
      </c>
      <c r="DV21" s="16"/>
      <c r="DW21" s="19"/>
      <c r="DX21" s="14"/>
      <c r="DY21" s="16"/>
      <c r="DZ21" s="18">
        <f t="shared" si="26"/>
        <v>0</v>
      </c>
      <c r="EA21" s="16"/>
      <c r="EB21" s="19"/>
      <c r="EC21" s="16">
        <f t="shared" si="27"/>
        <v>0</v>
      </c>
      <c r="ED21" s="14"/>
      <c r="EE21" s="16"/>
      <c r="EF21" s="18">
        <f t="shared" si="28"/>
        <v>0</v>
      </c>
      <c r="EG21" s="16"/>
      <c r="EH21" s="19"/>
      <c r="EI21" s="14"/>
      <c r="EJ21" s="16"/>
      <c r="EK21" s="18">
        <f t="shared" si="29"/>
        <v>0</v>
      </c>
      <c r="EL21" s="16"/>
      <c r="EM21" s="19"/>
      <c r="EN21" s="14"/>
      <c r="EO21" s="16"/>
      <c r="EP21" s="18">
        <f t="shared" si="30"/>
        <v>0</v>
      </c>
      <c r="EQ21" s="16"/>
      <c r="ER21" s="19"/>
      <c r="ES21" s="14"/>
      <c r="ET21" s="16"/>
      <c r="EU21" s="18">
        <f t="shared" si="31"/>
        <v>0</v>
      </c>
      <c r="EV21" s="16"/>
      <c r="EW21" s="19"/>
      <c r="EX21" s="14"/>
      <c r="EY21" s="16"/>
      <c r="EZ21" s="18">
        <f t="shared" si="32"/>
        <v>0</v>
      </c>
      <c r="FA21" s="16"/>
      <c r="FB21" s="19"/>
      <c r="FC21" s="14"/>
      <c r="FD21" s="16"/>
      <c r="FE21" s="18">
        <f t="shared" si="33"/>
        <v>0</v>
      </c>
      <c r="FF21" s="16"/>
      <c r="FG21" s="19"/>
      <c r="FH21" s="14"/>
      <c r="FI21" s="16"/>
      <c r="FJ21" s="18">
        <f t="shared" si="34"/>
        <v>0</v>
      </c>
      <c r="FK21" s="16"/>
      <c r="FL21" s="19"/>
      <c r="FM21" s="14"/>
      <c r="FN21" s="16"/>
      <c r="FO21" s="18">
        <f t="shared" si="35"/>
        <v>0</v>
      </c>
      <c r="FP21" s="16"/>
      <c r="FQ21" s="19"/>
      <c r="FR21" s="14"/>
      <c r="FS21" s="16"/>
      <c r="FT21" s="18">
        <f t="shared" si="36"/>
        <v>0</v>
      </c>
      <c r="FU21" s="16"/>
      <c r="FV21" s="19"/>
      <c r="FW21" s="14"/>
      <c r="FX21" s="16"/>
      <c r="FY21" s="18">
        <f t="shared" si="37"/>
        <v>0</v>
      </c>
      <c r="FZ21" s="16"/>
      <c r="GA21" s="19"/>
      <c r="GB21" s="14"/>
      <c r="GC21" s="16"/>
      <c r="GD21" s="18">
        <f t="shared" si="38"/>
        <v>0</v>
      </c>
      <c r="GE21" s="16"/>
      <c r="GF21" s="19"/>
      <c r="GG21" s="14"/>
      <c r="GH21" s="16"/>
      <c r="GI21" s="18">
        <f t="shared" si="39"/>
        <v>0</v>
      </c>
      <c r="GJ21" s="16"/>
      <c r="GK21" s="19"/>
    </row>
    <row r="22" spans="1:193">
      <c r="A22" s="12">
        <v>19</v>
      </c>
      <c r="B22" s="13">
        <f>[1]项目立项!C42</f>
        <v>0</v>
      </c>
      <c r="C22" s="13">
        <f>[1]项目立项!D42</f>
        <v>0</v>
      </c>
      <c r="D22" s="13">
        <f>[1]项目立项!E42</f>
        <v>0</v>
      </c>
      <c r="E22" s="13">
        <f>[1]项目立项!F42</f>
        <v>0</v>
      </c>
      <c r="F22" s="14"/>
      <c r="G22" s="15">
        <f t="shared" si="0"/>
        <v>0</v>
      </c>
      <c r="H22" s="16"/>
      <c r="I22" s="17"/>
      <c r="J22" s="16"/>
      <c r="K22" s="16">
        <f t="shared" si="1"/>
        <v>0</v>
      </c>
      <c r="L22" s="14"/>
      <c r="M22" s="16"/>
      <c r="N22" s="18">
        <f t="shared" si="2"/>
        <v>0</v>
      </c>
      <c r="O22" s="16"/>
      <c r="P22" s="19"/>
      <c r="Q22" s="14"/>
      <c r="R22" s="16"/>
      <c r="S22" s="18">
        <f t="shared" si="3"/>
        <v>0</v>
      </c>
      <c r="T22" s="16"/>
      <c r="U22" s="19"/>
      <c r="V22" s="14"/>
      <c r="W22" s="16"/>
      <c r="X22" s="18">
        <f t="shared" si="4"/>
        <v>0</v>
      </c>
      <c r="Y22" s="16"/>
      <c r="Z22" s="19"/>
      <c r="AA22" s="14"/>
      <c r="AB22" s="16"/>
      <c r="AC22" s="18">
        <f t="shared" si="5"/>
        <v>0</v>
      </c>
      <c r="AD22" s="16"/>
      <c r="AE22" s="19"/>
      <c r="AF22" s="14"/>
      <c r="AG22" s="16"/>
      <c r="AH22" s="18">
        <f t="shared" si="6"/>
        <v>0</v>
      </c>
      <c r="AI22" s="16"/>
      <c r="AJ22" s="19"/>
      <c r="AK22" s="14"/>
      <c r="AL22" s="16"/>
      <c r="AM22" s="18">
        <f t="shared" si="7"/>
        <v>0</v>
      </c>
      <c r="AN22" s="16"/>
      <c r="AO22" s="19"/>
      <c r="AP22" s="14"/>
      <c r="AQ22" s="16"/>
      <c r="AR22" s="18">
        <f t="shared" si="8"/>
        <v>0</v>
      </c>
      <c r="AS22" s="16"/>
      <c r="AT22" s="19"/>
      <c r="AU22" s="14"/>
      <c r="AV22" s="16"/>
      <c r="AW22" s="18">
        <f t="shared" si="9"/>
        <v>0</v>
      </c>
      <c r="AX22" s="16"/>
      <c r="AY22" s="19"/>
      <c r="AZ22" s="14"/>
      <c r="BA22" s="16"/>
      <c r="BB22" s="18">
        <f t="shared" si="10"/>
        <v>0</v>
      </c>
      <c r="BC22" s="16"/>
      <c r="BD22" s="19"/>
      <c r="BE22" s="14"/>
      <c r="BF22" s="16"/>
      <c r="BG22" s="18">
        <f t="shared" si="11"/>
        <v>0</v>
      </c>
      <c r="BH22" s="16"/>
      <c r="BI22" s="19"/>
      <c r="BJ22" s="14"/>
      <c r="BK22" s="16"/>
      <c r="BL22" s="18">
        <f t="shared" si="12"/>
        <v>0</v>
      </c>
      <c r="BM22" s="16"/>
      <c r="BN22" s="19"/>
      <c r="BO22" s="14"/>
      <c r="BP22" s="16"/>
      <c r="BQ22" s="18">
        <f t="shared" si="13"/>
        <v>0</v>
      </c>
      <c r="BR22" s="16"/>
      <c r="BS22" s="19"/>
      <c r="BT22" s="16">
        <f t="shared" si="14"/>
        <v>0</v>
      </c>
      <c r="BU22" s="14"/>
      <c r="BV22" s="16"/>
      <c r="BW22" s="18">
        <f t="shared" si="15"/>
        <v>0</v>
      </c>
      <c r="BX22" s="16"/>
      <c r="BY22" s="19"/>
      <c r="BZ22" s="14"/>
      <c r="CA22" s="16"/>
      <c r="CB22" s="18">
        <f t="shared" si="16"/>
        <v>0</v>
      </c>
      <c r="CC22" s="16"/>
      <c r="CD22" s="19"/>
      <c r="CE22" s="14"/>
      <c r="CF22" s="16"/>
      <c r="CG22" s="18">
        <f t="shared" si="17"/>
        <v>0</v>
      </c>
      <c r="CH22" s="16"/>
      <c r="CI22" s="19"/>
      <c r="CJ22" s="14"/>
      <c r="CK22" s="16"/>
      <c r="CL22" s="18">
        <f t="shared" si="18"/>
        <v>0</v>
      </c>
      <c r="CM22" s="16"/>
      <c r="CN22" s="19"/>
      <c r="CO22" s="14"/>
      <c r="CP22" s="16"/>
      <c r="CQ22" s="18">
        <f t="shared" si="19"/>
        <v>0</v>
      </c>
      <c r="CR22" s="16"/>
      <c r="CS22" s="19"/>
      <c r="CT22" s="14"/>
      <c r="CU22" s="16"/>
      <c r="CV22" s="18">
        <f t="shared" si="20"/>
        <v>0</v>
      </c>
      <c r="CW22" s="16"/>
      <c r="CX22" s="19"/>
      <c r="CY22" s="14"/>
      <c r="CZ22" s="16"/>
      <c r="DA22" s="18">
        <f t="shared" si="21"/>
        <v>0</v>
      </c>
      <c r="DB22" s="16"/>
      <c r="DC22" s="19"/>
      <c r="DD22" s="14"/>
      <c r="DE22" s="16"/>
      <c r="DF22" s="18">
        <f t="shared" si="22"/>
        <v>0</v>
      </c>
      <c r="DG22" s="16"/>
      <c r="DH22" s="19"/>
      <c r="DI22" s="14"/>
      <c r="DJ22" s="16"/>
      <c r="DK22" s="18">
        <f t="shared" si="23"/>
        <v>0</v>
      </c>
      <c r="DL22" s="16"/>
      <c r="DM22" s="19"/>
      <c r="DN22" s="14"/>
      <c r="DO22" s="16"/>
      <c r="DP22" s="18">
        <f t="shared" si="24"/>
        <v>0</v>
      </c>
      <c r="DQ22" s="16"/>
      <c r="DR22" s="19"/>
      <c r="DS22" s="14"/>
      <c r="DT22" s="16"/>
      <c r="DU22" s="18">
        <f t="shared" si="25"/>
        <v>0</v>
      </c>
      <c r="DV22" s="16"/>
      <c r="DW22" s="19"/>
      <c r="DX22" s="14"/>
      <c r="DY22" s="16"/>
      <c r="DZ22" s="18">
        <f t="shared" si="26"/>
        <v>0</v>
      </c>
      <c r="EA22" s="16"/>
      <c r="EB22" s="19"/>
      <c r="EC22" s="16">
        <f t="shared" si="27"/>
        <v>0</v>
      </c>
      <c r="ED22" s="14"/>
      <c r="EE22" s="16"/>
      <c r="EF22" s="18">
        <f t="shared" si="28"/>
        <v>0</v>
      </c>
      <c r="EG22" s="16"/>
      <c r="EH22" s="19"/>
      <c r="EI22" s="14"/>
      <c r="EJ22" s="16"/>
      <c r="EK22" s="18">
        <f t="shared" si="29"/>
        <v>0</v>
      </c>
      <c r="EL22" s="16"/>
      <c r="EM22" s="19"/>
      <c r="EN22" s="14"/>
      <c r="EO22" s="16"/>
      <c r="EP22" s="18">
        <f t="shared" si="30"/>
        <v>0</v>
      </c>
      <c r="EQ22" s="16"/>
      <c r="ER22" s="19"/>
      <c r="ES22" s="14"/>
      <c r="ET22" s="16"/>
      <c r="EU22" s="18">
        <f t="shared" si="31"/>
        <v>0</v>
      </c>
      <c r="EV22" s="16"/>
      <c r="EW22" s="19"/>
      <c r="EX22" s="14"/>
      <c r="EY22" s="16"/>
      <c r="EZ22" s="18">
        <f t="shared" si="32"/>
        <v>0</v>
      </c>
      <c r="FA22" s="16"/>
      <c r="FB22" s="19"/>
      <c r="FC22" s="14"/>
      <c r="FD22" s="16"/>
      <c r="FE22" s="18">
        <f t="shared" si="33"/>
        <v>0</v>
      </c>
      <c r="FF22" s="16"/>
      <c r="FG22" s="19"/>
      <c r="FH22" s="14"/>
      <c r="FI22" s="16"/>
      <c r="FJ22" s="18">
        <f t="shared" si="34"/>
        <v>0</v>
      </c>
      <c r="FK22" s="16"/>
      <c r="FL22" s="19"/>
      <c r="FM22" s="14"/>
      <c r="FN22" s="16"/>
      <c r="FO22" s="18">
        <f t="shared" si="35"/>
        <v>0</v>
      </c>
      <c r="FP22" s="16"/>
      <c r="FQ22" s="19"/>
      <c r="FR22" s="14"/>
      <c r="FS22" s="16"/>
      <c r="FT22" s="18">
        <f t="shared" si="36"/>
        <v>0</v>
      </c>
      <c r="FU22" s="16"/>
      <c r="FV22" s="19"/>
      <c r="FW22" s="14"/>
      <c r="FX22" s="16"/>
      <c r="FY22" s="18">
        <f t="shared" si="37"/>
        <v>0</v>
      </c>
      <c r="FZ22" s="16"/>
      <c r="GA22" s="19"/>
      <c r="GB22" s="14"/>
      <c r="GC22" s="16"/>
      <c r="GD22" s="18">
        <f t="shared" si="38"/>
        <v>0</v>
      </c>
      <c r="GE22" s="16"/>
      <c r="GF22" s="19"/>
      <c r="GG22" s="14"/>
      <c r="GH22" s="16"/>
      <c r="GI22" s="18">
        <f t="shared" si="39"/>
        <v>0</v>
      </c>
      <c r="GJ22" s="16"/>
      <c r="GK22" s="19"/>
    </row>
    <row r="23" spans="1:193">
      <c r="A23" s="12">
        <v>20</v>
      </c>
      <c r="B23" s="13">
        <f>[1]项目立项!C43</f>
        <v>0</v>
      </c>
      <c r="C23" s="13">
        <f>[1]项目立项!D43</f>
        <v>0</v>
      </c>
      <c r="D23" s="13">
        <f>[1]项目立项!E43</f>
        <v>0</v>
      </c>
      <c r="E23" s="13">
        <f>[1]项目立项!F43</f>
        <v>0</v>
      </c>
      <c r="F23" s="14"/>
      <c r="G23" s="15">
        <f t="shared" si="0"/>
        <v>0</v>
      </c>
      <c r="H23" s="16"/>
      <c r="I23" s="17"/>
      <c r="J23" s="16"/>
      <c r="K23" s="16">
        <f t="shared" si="1"/>
        <v>0</v>
      </c>
      <c r="L23" s="14"/>
      <c r="M23" s="16"/>
      <c r="N23" s="18">
        <f t="shared" si="2"/>
        <v>0</v>
      </c>
      <c r="O23" s="16"/>
      <c r="P23" s="19"/>
      <c r="Q23" s="14"/>
      <c r="R23" s="16"/>
      <c r="S23" s="18">
        <f t="shared" si="3"/>
        <v>0</v>
      </c>
      <c r="T23" s="16"/>
      <c r="U23" s="19"/>
      <c r="V23" s="14"/>
      <c r="W23" s="16"/>
      <c r="X23" s="18">
        <f t="shared" si="4"/>
        <v>0</v>
      </c>
      <c r="Y23" s="16"/>
      <c r="Z23" s="19"/>
      <c r="AA23" s="14"/>
      <c r="AB23" s="16"/>
      <c r="AC23" s="18">
        <f t="shared" si="5"/>
        <v>0</v>
      </c>
      <c r="AD23" s="16"/>
      <c r="AE23" s="19"/>
      <c r="AF23" s="14"/>
      <c r="AG23" s="16"/>
      <c r="AH23" s="18">
        <f t="shared" si="6"/>
        <v>0</v>
      </c>
      <c r="AI23" s="16"/>
      <c r="AJ23" s="19"/>
      <c r="AK23" s="14"/>
      <c r="AL23" s="16"/>
      <c r="AM23" s="18">
        <f t="shared" si="7"/>
        <v>0</v>
      </c>
      <c r="AN23" s="16"/>
      <c r="AO23" s="19"/>
      <c r="AP23" s="14"/>
      <c r="AQ23" s="16"/>
      <c r="AR23" s="18">
        <f t="shared" si="8"/>
        <v>0</v>
      </c>
      <c r="AS23" s="16"/>
      <c r="AT23" s="19"/>
      <c r="AU23" s="14"/>
      <c r="AV23" s="16"/>
      <c r="AW23" s="18">
        <f t="shared" si="9"/>
        <v>0</v>
      </c>
      <c r="AX23" s="16"/>
      <c r="AY23" s="19"/>
      <c r="AZ23" s="14"/>
      <c r="BA23" s="16"/>
      <c r="BB23" s="18">
        <f t="shared" si="10"/>
        <v>0</v>
      </c>
      <c r="BC23" s="16"/>
      <c r="BD23" s="19"/>
      <c r="BE23" s="14"/>
      <c r="BF23" s="16"/>
      <c r="BG23" s="18">
        <f t="shared" si="11"/>
        <v>0</v>
      </c>
      <c r="BH23" s="16"/>
      <c r="BI23" s="19"/>
      <c r="BJ23" s="14"/>
      <c r="BK23" s="16"/>
      <c r="BL23" s="18">
        <f t="shared" si="12"/>
        <v>0</v>
      </c>
      <c r="BM23" s="16"/>
      <c r="BN23" s="19"/>
      <c r="BO23" s="14"/>
      <c r="BP23" s="16"/>
      <c r="BQ23" s="18">
        <f t="shared" si="13"/>
        <v>0</v>
      </c>
      <c r="BR23" s="16"/>
      <c r="BS23" s="19"/>
      <c r="BT23" s="16">
        <f t="shared" si="14"/>
        <v>0</v>
      </c>
      <c r="BU23" s="14"/>
      <c r="BV23" s="16"/>
      <c r="BW23" s="18">
        <f t="shared" si="15"/>
        <v>0</v>
      </c>
      <c r="BX23" s="16"/>
      <c r="BY23" s="19"/>
      <c r="BZ23" s="14"/>
      <c r="CA23" s="16"/>
      <c r="CB23" s="18">
        <f t="shared" si="16"/>
        <v>0</v>
      </c>
      <c r="CC23" s="16"/>
      <c r="CD23" s="19"/>
      <c r="CE23" s="14"/>
      <c r="CF23" s="16"/>
      <c r="CG23" s="18">
        <f t="shared" si="17"/>
        <v>0</v>
      </c>
      <c r="CH23" s="16"/>
      <c r="CI23" s="19"/>
      <c r="CJ23" s="14"/>
      <c r="CK23" s="16"/>
      <c r="CL23" s="18">
        <f t="shared" si="18"/>
        <v>0</v>
      </c>
      <c r="CM23" s="16"/>
      <c r="CN23" s="19"/>
      <c r="CO23" s="14"/>
      <c r="CP23" s="16"/>
      <c r="CQ23" s="18">
        <f t="shared" si="19"/>
        <v>0</v>
      </c>
      <c r="CR23" s="16"/>
      <c r="CS23" s="19"/>
      <c r="CT23" s="14"/>
      <c r="CU23" s="16"/>
      <c r="CV23" s="18">
        <f t="shared" si="20"/>
        <v>0</v>
      </c>
      <c r="CW23" s="16"/>
      <c r="CX23" s="19"/>
      <c r="CY23" s="14"/>
      <c r="CZ23" s="16"/>
      <c r="DA23" s="18">
        <f t="shared" si="21"/>
        <v>0</v>
      </c>
      <c r="DB23" s="16"/>
      <c r="DC23" s="19"/>
      <c r="DD23" s="14"/>
      <c r="DE23" s="16"/>
      <c r="DF23" s="18">
        <f t="shared" si="22"/>
        <v>0</v>
      </c>
      <c r="DG23" s="16"/>
      <c r="DH23" s="19"/>
      <c r="DI23" s="14"/>
      <c r="DJ23" s="16"/>
      <c r="DK23" s="18">
        <f t="shared" si="23"/>
        <v>0</v>
      </c>
      <c r="DL23" s="16"/>
      <c r="DM23" s="19"/>
      <c r="DN23" s="14"/>
      <c r="DO23" s="16"/>
      <c r="DP23" s="18">
        <f t="shared" si="24"/>
        <v>0</v>
      </c>
      <c r="DQ23" s="16"/>
      <c r="DR23" s="19"/>
      <c r="DS23" s="14"/>
      <c r="DT23" s="16"/>
      <c r="DU23" s="18">
        <f t="shared" si="25"/>
        <v>0</v>
      </c>
      <c r="DV23" s="16"/>
      <c r="DW23" s="19"/>
      <c r="DX23" s="14"/>
      <c r="DY23" s="16"/>
      <c r="DZ23" s="18">
        <f t="shared" si="26"/>
        <v>0</v>
      </c>
      <c r="EA23" s="16"/>
      <c r="EB23" s="19"/>
      <c r="EC23" s="16">
        <f t="shared" si="27"/>
        <v>0</v>
      </c>
      <c r="ED23" s="14"/>
      <c r="EE23" s="16"/>
      <c r="EF23" s="18">
        <f t="shared" si="28"/>
        <v>0</v>
      </c>
      <c r="EG23" s="16"/>
      <c r="EH23" s="19"/>
      <c r="EI23" s="14"/>
      <c r="EJ23" s="16"/>
      <c r="EK23" s="18">
        <f t="shared" si="29"/>
        <v>0</v>
      </c>
      <c r="EL23" s="16"/>
      <c r="EM23" s="19"/>
      <c r="EN23" s="14"/>
      <c r="EO23" s="16"/>
      <c r="EP23" s="18">
        <f t="shared" si="30"/>
        <v>0</v>
      </c>
      <c r="EQ23" s="16"/>
      <c r="ER23" s="19"/>
      <c r="ES23" s="14"/>
      <c r="ET23" s="16"/>
      <c r="EU23" s="18">
        <f t="shared" si="31"/>
        <v>0</v>
      </c>
      <c r="EV23" s="16"/>
      <c r="EW23" s="19"/>
      <c r="EX23" s="14"/>
      <c r="EY23" s="16"/>
      <c r="EZ23" s="18">
        <f t="shared" si="32"/>
        <v>0</v>
      </c>
      <c r="FA23" s="16"/>
      <c r="FB23" s="19"/>
      <c r="FC23" s="14"/>
      <c r="FD23" s="16"/>
      <c r="FE23" s="18">
        <f t="shared" si="33"/>
        <v>0</v>
      </c>
      <c r="FF23" s="16"/>
      <c r="FG23" s="19"/>
      <c r="FH23" s="14"/>
      <c r="FI23" s="16"/>
      <c r="FJ23" s="18">
        <f t="shared" si="34"/>
        <v>0</v>
      </c>
      <c r="FK23" s="16"/>
      <c r="FL23" s="19"/>
      <c r="FM23" s="14"/>
      <c r="FN23" s="16"/>
      <c r="FO23" s="18">
        <f t="shared" si="35"/>
        <v>0</v>
      </c>
      <c r="FP23" s="16"/>
      <c r="FQ23" s="19"/>
      <c r="FR23" s="14"/>
      <c r="FS23" s="16"/>
      <c r="FT23" s="18">
        <f t="shared" si="36"/>
        <v>0</v>
      </c>
      <c r="FU23" s="16"/>
      <c r="FV23" s="19"/>
      <c r="FW23" s="14"/>
      <c r="FX23" s="16"/>
      <c r="FY23" s="18">
        <f t="shared" si="37"/>
        <v>0</v>
      </c>
      <c r="FZ23" s="16"/>
      <c r="GA23" s="19"/>
      <c r="GB23" s="14"/>
      <c r="GC23" s="16"/>
      <c r="GD23" s="18">
        <f t="shared" si="38"/>
        <v>0</v>
      </c>
      <c r="GE23" s="16"/>
      <c r="GF23" s="19"/>
      <c r="GG23" s="14"/>
      <c r="GH23" s="16"/>
      <c r="GI23" s="18">
        <f t="shared" si="39"/>
        <v>0</v>
      </c>
      <c r="GJ23" s="16"/>
      <c r="GK23" s="19"/>
    </row>
    <row r="24" spans="1:193">
      <c r="A24" s="12">
        <v>21</v>
      </c>
      <c r="B24" s="13">
        <f>[1]项目立项!C44</f>
        <v>0</v>
      </c>
      <c r="C24" s="13">
        <f>[1]项目立项!D44</f>
        <v>0</v>
      </c>
      <c r="D24" s="13">
        <f>[1]项目立项!E44</f>
        <v>0</v>
      </c>
      <c r="E24" s="13">
        <f>[1]项目立项!F44</f>
        <v>0</v>
      </c>
      <c r="F24" s="14"/>
      <c r="G24" s="15">
        <f t="shared" si="0"/>
        <v>0</v>
      </c>
      <c r="H24" s="16"/>
      <c r="I24" s="17"/>
      <c r="J24" s="16"/>
      <c r="K24" s="16">
        <f t="shared" si="1"/>
        <v>0</v>
      </c>
      <c r="L24" s="14"/>
      <c r="M24" s="16"/>
      <c r="N24" s="18">
        <f t="shared" si="2"/>
        <v>0</v>
      </c>
      <c r="O24" s="16"/>
      <c r="P24" s="19"/>
      <c r="Q24" s="14"/>
      <c r="R24" s="16"/>
      <c r="S24" s="18">
        <f t="shared" si="3"/>
        <v>0</v>
      </c>
      <c r="T24" s="16"/>
      <c r="U24" s="19"/>
      <c r="V24" s="14"/>
      <c r="W24" s="16"/>
      <c r="X24" s="18">
        <f t="shared" si="4"/>
        <v>0</v>
      </c>
      <c r="Y24" s="16"/>
      <c r="Z24" s="19"/>
      <c r="AA24" s="14"/>
      <c r="AB24" s="16"/>
      <c r="AC24" s="18">
        <f t="shared" si="5"/>
        <v>0</v>
      </c>
      <c r="AD24" s="16"/>
      <c r="AE24" s="19"/>
      <c r="AF24" s="14"/>
      <c r="AG24" s="16"/>
      <c r="AH24" s="18">
        <f t="shared" si="6"/>
        <v>0</v>
      </c>
      <c r="AI24" s="16"/>
      <c r="AJ24" s="19"/>
      <c r="AK24" s="14"/>
      <c r="AL24" s="16"/>
      <c r="AM24" s="18">
        <f t="shared" si="7"/>
        <v>0</v>
      </c>
      <c r="AN24" s="16"/>
      <c r="AO24" s="19"/>
      <c r="AP24" s="14"/>
      <c r="AQ24" s="16"/>
      <c r="AR24" s="18">
        <f t="shared" si="8"/>
        <v>0</v>
      </c>
      <c r="AS24" s="16"/>
      <c r="AT24" s="19"/>
      <c r="AU24" s="14"/>
      <c r="AV24" s="16"/>
      <c r="AW24" s="18">
        <f t="shared" si="9"/>
        <v>0</v>
      </c>
      <c r="AX24" s="16"/>
      <c r="AY24" s="19"/>
      <c r="AZ24" s="14"/>
      <c r="BA24" s="16"/>
      <c r="BB24" s="18">
        <f t="shared" si="10"/>
        <v>0</v>
      </c>
      <c r="BC24" s="16"/>
      <c r="BD24" s="19"/>
      <c r="BE24" s="14"/>
      <c r="BF24" s="16"/>
      <c r="BG24" s="18">
        <f t="shared" si="11"/>
        <v>0</v>
      </c>
      <c r="BH24" s="16"/>
      <c r="BI24" s="19"/>
      <c r="BJ24" s="14"/>
      <c r="BK24" s="16"/>
      <c r="BL24" s="18">
        <f t="shared" si="12"/>
        <v>0</v>
      </c>
      <c r="BM24" s="16"/>
      <c r="BN24" s="19"/>
      <c r="BO24" s="14"/>
      <c r="BP24" s="16"/>
      <c r="BQ24" s="18">
        <f t="shared" si="13"/>
        <v>0</v>
      </c>
      <c r="BR24" s="16"/>
      <c r="BS24" s="19"/>
      <c r="BT24" s="16">
        <f t="shared" si="14"/>
        <v>0</v>
      </c>
      <c r="BU24" s="14"/>
      <c r="BV24" s="16"/>
      <c r="BW24" s="18">
        <f t="shared" si="15"/>
        <v>0</v>
      </c>
      <c r="BX24" s="16"/>
      <c r="BY24" s="19"/>
      <c r="BZ24" s="14"/>
      <c r="CA24" s="16"/>
      <c r="CB24" s="18">
        <f t="shared" si="16"/>
        <v>0</v>
      </c>
      <c r="CC24" s="16"/>
      <c r="CD24" s="19"/>
      <c r="CE24" s="14"/>
      <c r="CF24" s="16"/>
      <c r="CG24" s="18">
        <f t="shared" si="17"/>
        <v>0</v>
      </c>
      <c r="CH24" s="16"/>
      <c r="CI24" s="19"/>
      <c r="CJ24" s="14"/>
      <c r="CK24" s="16"/>
      <c r="CL24" s="18">
        <f t="shared" si="18"/>
        <v>0</v>
      </c>
      <c r="CM24" s="16"/>
      <c r="CN24" s="19"/>
      <c r="CO24" s="14"/>
      <c r="CP24" s="16"/>
      <c r="CQ24" s="18">
        <f t="shared" si="19"/>
        <v>0</v>
      </c>
      <c r="CR24" s="16"/>
      <c r="CS24" s="19"/>
      <c r="CT24" s="14"/>
      <c r="CU24" s="16"/>
      <c r="CV24" s="18">
        <f t="shared" si="20"/>
        <v>0</v>
      </c>
      <c r="CW24" s="16"/>
      <c r="CX24" s="19"/>
      <c r="CY24" s="14"/>
      <c r="CZ24" s="16"/>
      <c r="DA24" s="18">
        <f t="shared" si="21"/>
        <v>0</v>
      </c>
      <c r="DB24" s="16"/>
      <c r="DC24" s="19"/>
      <c r="DD24" s="14"/>
      <c r="DE24" s="16"/>
      <c r="DF24" s="18">
        <f t="shared" si="22"/>
        <v>0</v>
      </c>
      <c r="DG24" s="16"/>
      <c r="DH24" s="19"/>
      <c r="DI24" s="14"/>
      <c r="DJ24" s="16"/>
      <c r="DK24" s="18">
        <f t="shared" si="23"/>
        <v>0</v>
      </c>
      <c r="DL24" s="16"/>
      <c r="DM24" s="19"/>
      <c r="DN24" s="14"/>
      <c r="DO24" s="16"/>
      <c r="DP24" s="18">
        <f t="shared" si="24"/>
        <v>0</v>
      </c>
      <c r="DQ24" s="16"/>
      <c r="DR24" s="19"/>
      <c r="DS24" s="14"/>
      <c r="DT24" s="16"/>
      <c r="DU24" s="18">
        <f t="shared" si="25"/>
        <v>0</v>
      </c>
      <c r="DV24" s="16"/>
      <c r="DW24" s="19"/>
      <c r="DX24" s="14"/>
      <c r="DY24" s="16"/>
      <c r="DZ24" s="18">
        <f t="shared" si="26"/>
        <v>0</v>
      </c>
      <c r="EA24" s="16"/>
      <c r="EB24" s="19"/>
      <c r="EC24" s="16">
        <f t="shared" si="27"/>
        <v>0</v>
      </c>
      <c r="ED24" s="14"/>
      <c r="EE24" s="16"/>
      <c r="EF24" s="18">
        <f t="shared" si="28"/>
        <v>0</v>
      </c>
      <c r="EG24" s="16"/>
      <c r="EH24" s="19"/>
      <c r="EI24" s="14"/>
      <c r="EJ24" s="16"/>
      <c r="EK24" s="18">
        <f t="shared" si="29"/>
        <v>0</v>
      </c>
      <c r="EL24" s="16"/>
      <c r="EM24" s="19"/>
      <c r="EN24" s="14"/>
      <c r="EO24" s="16"/>
      <c r="EP24" s="18">
        <f t="shared" si="30"/>
        <v>0</v>
      </c>
      <c r="EQ24" s="16"/>
      <c r="ER24" s="19"/>
      <c r="ES24" s="14"/>
      <c r="ET24" s="16"/>
      <c r="EU24" s="18">
        <f t="shared" si="31"/>
        <v>0</v>
      </c>
      <c r="EV24" s="16"/>
      <c r="EW24" s="19"/>
      <c r="EX24" s="14"/>
      <c r="EY24" s="16"/>
      <c r="EZ24" s="18">
        <f t="shared" si="32"/>
        <v>0</v>
      </c>
      <c r="FA24" s="16"/>
      <c r="FB24" s="19"/>
      <c r="FC24" s="14"/>
      <c r="FD24" s="16"/>
      <c r="FE24" s="18">
        <f t="shared" si="33"/>
        <v>0</v>
      </c>
      <c r="FF24" s="16"/>
      <c r="FG24" s="19"/>
      <c r="FH24" s="14"/>
      <c r="FI24" s="16"/>
      <c r="FJ24" s="18">
        <f t="shared" si="34"/>
        <v>0</v>
      </c>
      <c r="FK24" s="16"/>
      <c r="FL24" s="19"/>
      <c r="FM24" s="14"/>
      <c r="FN24" s="16"/>
      <c r="FO24" s="18">
        <f t="shared" si="35"/>
        <v>0</v>
      </c>
      <c r="FP24" s="16"/>
      <c r="FQ24" s="19"/>
      <c r="FR24" s="14"/>
      <c r="FS24" s="16"/>
      <c r="FT24" s="18">
        <f t="shared" si="36"/>
        <v>0</v>
      </c>
      <c r="FU24" s="16"/>
      <c r="FV24" s="19"/>
      <c r="FW24" s="14"/>
      <c r="FX24" s="16"/>
      <c r="FY24" s="18">
        <f t="shared" si="37"/>
        <v>0</v>
      </c>
      <c r="FZ24" s="16"/>
      <c r="GA24" s="19"/>
      <c r="GB24" s="14"/>
      <c r="GC24" s="16"/>
      <c r="GD24" s="18">
        <f t="shared" si="38"/>
        <v>0</v>
      </c>
      <c r="GE24" s="16"/>
      <c r="GF24" s="19"/>
      <c r="GG24" s="14"/>
      <c r="GH24" s="16"/>
      <c r="GI24" s="18">
        <f t="shared" si="39"/>
        <v>0</v>
      </c>
      <c r="GJ24" s="16"/>
      <c r="GK24" s="19"/>
    </row>
    <row r="25" spans="1:193">
      <c r="A25" s="12">
        <v>22</v>
      </c>
      <c r="B25" s="13">
        <f>[1]项目立项!C45</f>
        <v>0</v>
      </c>
      <c r="C25" s="13">
        <f>[1]项目立项!D45</f>
        <v>0</v>
      </c>
      <c r="D25" s="13">
        <f>[1]项目立项!E45</f>
        <v>0</v>
      </c>
      <c r="E25" s="13">
        <f>[1]项目立项!F45</f>
        <v>0</v>
      </c>
      <c r="F25" s="14"/>
      <c r="G25" s="15">
        <f t="shared" si="0"/>
        <v>0</v>
      </c>
      <c r="H25" s="16"/>
      <c r="I25" s="17"/>
      <c r="J25" s="16"/>
      <c r="K25" s="16">
        <f t="shared" si="1"/>
        <v>0</v>
      </c>
      <c r="L25" s="14"/>
      <c r="M25" s="16"/>
      <c r="N25" s="18">
        <f t="shared" si="2"/>
        <v>0</v>
      </c>
      <c r="O25" s="16"/>
      <c r="P25" s="19"/>
      <c r="Q25" s="14"/>
      <c r="R25" s="16"/>
      <c r="S25" s="18">
        <f t="shared" si="3"/>
        <v>0</v>
      </c>
      <c r="T25" s="16"/>
      <c r="U25" s="19"/>
      <c r="V25" s="14"/>
      <c r="W25" s="16"/>
      <c r="X25" s="18">
        <f t="shared" si="4"/>
        <v>0</v>
      </c>
      <c r="Y25" s="16"/>
      <c r="Z25" s="19"/>
      <c r="AA25" s="14"/>
      <c r="AB25" s="16"/>
      <c r="AC25" s="18">
        <f t="shared" si="5"/>
        <v>0</v>
      </c>
      <c r="AD25" s="16"/>
      <c r="AE25" s="19"/>
      <c r="AF25" s="14"/>
      <c r="AG25" s="16"/>
      <c r="AH25" s="18">
        <f t="shared" si="6"/>
        <v>0</v>
      </c>
      <c r="AI25" s="16"/>
      <c r="AJ25" s="19"/>
      <c r="AK25" s="14"/>
      <c r="AL25" s="16"/>
      <c r="AM25" s="18">
        <f t="shared" si="7"/>
        <v>0</v>
      </c>
      <c r="AN25" s="16"/>
      <c r="AO25" s="19"/>
      <c r="AP25" s="14"/>
      <c r="AQ25" s="16"/>
      <c r="AR25" s="18">
        <f t="shared" si="8"/>
        <v>0</v>
      </c>
      <c r="AS25" s="16"/>
      <c r="AT25" s="19"/>
      <c r="AU25" s="14"/>
      <c r="AV25" s="16"/>
      <c r="AW25" s="18">
        <f t="shared" si="9"/>
        <v>0</v>
      </c>
      <c r="AX25" s="16"/>
      <c r="AY25" s="19"/>
      <c r="AZ25" s="14"/>
      <c r="BA25" s="16"/>
      <c r="BB25" s="18">
        <f t="shared" si="10"/>
        <v>0</v>
      </c>
      <c r="BC25" s="16"/>
      <c r="BD25" s="19"/>
      <c r="BE25" s="14"/>
      <c r="BF25" s="16"/>
      <c r="BG25" s="18">
        <f t="shared" si="11"/>
        <v>0</v>
      </c>
      <c r="BH25" s="16"/>
      <c r="BI25" s="19"/>
      <c r="BJ25" s="14"/>
      <c r="BK25" s="16"/>
      <c r="BL25" s="18">
        <f t="shared" si="12"/>
        <v>0</v>
      </c>
      <c r="BM25" s="16"/>
      <c r="BN25" s="19"/>
      <c r="BO25" s="14"/>
      <c r="BP25" s="16"/>
      <c r="BQ25" s="18">
        <f t="shared" si="13"/>
        <v>0</v>
      </c>
      <c r="BR25" s="16"/>
      <c r="BS25" s="19"/>
      <c r="BT25" s="16">
        <f t="shared" si="14"/>
        <v>0</v>
      </c>
      <c r="BU25" s="14"/>
      <c r="BV25" s="16"/>
      <c r="BW25" s="18">
        <f t="shared" si="15"/>
        <v>0</v>
      </c>
      <c r="BX25" s="16"/>
      <c r="BY25" s="19"/>
      <c r="BZ25" s="14"/>
      <c r="CA25" s="16"/>
      <c r="CB25" s="18">
        <f t="shared" si="16"/>
        <v>0</v>
      </c>
      <c r="CC25" s="16"/>
      <c r="CD25" s="19"/>
      <c r="CE25" s="14"/>
      <c r="CF25" s="16"/>
      <c r="CG25" s="18">
        <f t="shared" si="17"/>
        <v>0</v>
      </c>
      <c r="CH25" s="16"/>
      <c r="CI25" s="19"/>
      <c r="CJ25" s="14"/>
      <c r="CK25" s="16"/>
      <c r="CL25" s="18">
        <f t="shared" si="18"/>
        <v>0</v>
      </c>
      <c r="CM25" s="16"/>
      <c r="CN25" s="19"/>
      <c r="CO25" s="14"/>
      <c r="CP25" s="16"/>
      <c r="CQ25" s="18">
        <f t="shared" si="19"/>
        <v>0</v>
      </c>
      <c r="CR25" s="16"/>
      <c r="CS25" s="19"/>
      <c r="CT25" s="14"/>
      <c r="CU25" s="16"/>
      <c r="CV25" s="18">
        <f t="shared" si="20"/>
        <v>0</v>
      </c>
      <c r="CW25" s="16"/>
      <c r="CX25" s="19"/>
      <c r="CY25" s="14"/>
      <c r="CZ25" s="16"/>
      <c r="DA25" s="18">
        <f t="shared" si="21"/>
        <v>0</v>
      </c>
      <c r="DB25" s="16"/>
      <c r="DC25" s="19"/>
      <c r="DD25" s="14"/>
      <c r="DE25" s="16"/>
      <c r="DF25" s="18">
        <f t="shared" si="22"/>
        <v>0</v>
      </c>
      <c r="DG25" s="16"/>
      <c r="DH25" s="19"/>
      <c r="DI25" s="14"/>
      <c r="DJ25" s="16"/>
      <c r="DK25" s="18">
        <f t="shared" si="23"/>
        <v>0</v>
      </c>
      <c r="DL25" s="16"/>
      <c r="DM25" s="19"/>
      <c r="DN25" s="14"/>
      <c r="DO25" s="16"/>
      <c r="DP25" s="18">
        <f t="shared" si="24"/>
        <v>0</v>
      </c>
      <c r="DQ25" s="16"/>
      <c r="DR25" s="19"/>
      <c r="DS25" s="14"/>
      <c r="DT25" s="16"/>
      <c r="DU25" s="18">
        <f t="shared" si="25"/>
        <v>0</v>
      </c>
      <c r="DV25" s="16"/>
      <c r="DW25" s="19"/>
      <c r="DX25" s="14"/>
      <c r="DY25" s="16"/>
      <c r="DZ25" s="18">
        <f t="shared" si="26"/>
        <v>0</v>
      </c>
      <c r="EA25" s="16"/>
      <c r="EB25" s="19"/>
      <c r="EC25" s="16">
        <f t="shared" si="27"/>
        <v>0</v>
      </c>
      <c r="ED25" s="14"/>
      <c r="EE25" s="16"/>
      <c r="EF25" s="18">
        <f t="shared" si="28"/>
        <v>0</v>
      </c>
      <c r="EG25" s="16"/>
      <c r="EH25" s="19"/>
      <c r="EI25" s="14"/>
      <c r="EJ25" s="16"/>
      <c r="EK25" s="18">
        <f t="shared" si="29"/>
        <v>0</v>
      </c>
      <c r="EL25" s="16"/>
      <c r="EM25" s="19"/>
      <c r="EN25" s="14"/>
      <c r="EO25" s="16"/>
      <c r="EP25" s="18">
        <f t="shared" si="30"/>
        <v>0</v>
      </c>
      <c r="EQ25" s="16"/>
      <c r="ER25" s="19"/>
      <c r="ES25" s="14"/>
      <c r="ET25" s="16"/>
      <c r="EU25" s="18">
        <f t="shared" si="31"/>
        <v>0</v>
      </c>
      <c r="EV25" s="16"/>
      <c r="EW25" s="19"/>
      <c r="EX25" s="14"/>
      <c r="EY25" s="16"/>
      <c r="EZ25" s="18">
        <f t="shared" si="32"/>
        <v>0</v>
      </c>
      <c r="FA25" s="16"/>
      <c r="FB25" s="19"/>
      <c r="FC25" s="14"/>
      <c r="FD25" s="16"/>
      <c r="FE25" s="18">
        <f t="shared" si="33"/>
        <v>0</v>
      </c>
      <c r="FF25" s="16"/>
      <c r="FG25" s="19"/>
      <c r="FH25" s="14"/>
      <c r="FI25" s="16"/>
      <c r="FJ25" s="18">
        <f t="shared" si="34"/>
        <v>0</v>
      </c>
      <c r="FK25" s="16"/>
      <c r="FL25" s="19"/>
      <c r="FM25" s="14"/>
      <c r="FN25" s="16"/>
      <c r="FO25" s="18">
        <f t="shared" si="35"/>
        <v>0</v>
      </c>
      <c r="FP25" s="16"/>
      <c r="FQ25" s="19"/>
      <c r="FR25" s="14"/>
      <c r="FS25" s="16"/>
      <c r="FT25" s="18">
        <f t="shared" si="36"/>
        <v>0</v>
      </c>
      <c r="FU25" s="16"/>
      <c r="FV25" s="19"/>
      <c r="FW25" s="14"/>
      <c r="FX25" s="16"/>
      <c r="FY25" s="18">
        <f t="shared" si="37"/>
        <v>0</v>
      </c>
      <c r="FZ25" s="16"/>
      <c r="GA25" s="19"/>
      <c r="GB25" s="14"/>
      <c r="GC25" s="16"/>
      <c r="GD25" s="18">
        <f t="shared" si="38"/>
        <v>0</v>
      </c>
      <c r="GE25" s="16"/>
      <c r="GF25" s="19"/>
      <c r="GG25" s="14"/>
      <c r="GH25" s="16"/>
      <c r="GI25" s="18">
        <f t="shared" si="39"/>
        <v>0</v>
      </c>
      <c r="GJ25" s="16"/>
      <c r="GK25" s="19"/>
    </row>
    <row r="26" spans="1:193">
      <c r="A26" s="12">
        <v>23</v>
      </c>
      <c r="B26" s="13">
        <f>[1]项目立项!C46</f>
        <v>0</v>
      </c>
      <c r="C26" s="13">
        <f>[1]项目立项!D46</f>
        <v>0</v>
      </c>
      <c r="D26" s="13">
        <f>[1]项目立项!E46</f>
        <v>0</v>
      </c>
      <c r="E26" s="13">
        <f>[1]项目立项!F46</f>
        <v>0</v>
      </c>
      <c r="F26" s="14"/>
      <c r="G26" s="15">
        <f t="shared" si="0"/>
        <v>0</v>
      </c>
      <c r="H26" s="16"/>
      <c r="I26" s="17"/>
      <c r="J26" s="16"/>
      <c r="K26" s="16">
        <f t="shared" si="1"/>
        <v>0</v>
      </c>
      <c r="L26" s="14"/>
      <c r="M26" s="16"/>
      <c r="N26" s="18">
        <f t="shared" si="2"/>
        <v>0</v>
      </c>
      <c r="O26" s="16"/>
      <c r="P26" s="19"/>
      <c r="Q26" s="14"/>
      <c r="R26" s="16"/>
      <c r="S26" s="18">
        <f t="shared" si="3"/>
        <v>0</v>
      </c>
      <c r="T26" s="16"/>
      <c r="U26" s="19"/>
      <c r="V26" s="14"/>
      <c r="W26" s="16"/>
      <c r="X26" s="18">
        <f t="shared" si="4"/>
        <v>0</v>
      </c>
      <c r="Y26" s="16"/>
      <c r="Z26" s="19"/>
      <c r="AA26" s="14"/>
      <c r="AB26" s="16"/>
      <c r="AC26" s="18">
        <f t="shared" si="5"/>
        <v>0</v>
      </c>
      <c r="AD26" s="16"/>
      <c r="AE26" s="19"/>
      <c r="AF26" s="14"/>
      <c r="AG26" s="16"/>
      <c r="AH26" s="18">
        <f t="shared" si="6"/>
        <v>0</v>
      </c>
      <c r="AI26" s="16"/>
      <c r="AJ26" s="19"/>
      <c r="AK26" s="14"/>
      <c r="AL26" s="16"/>
      <c r="AM26" s="18">
        <f t="shared" si="7"/>
        <v>0</v>
      </c>
      <c r="AN26" s="16"/>
      <c r="AO26" s="19"/>
      <c r="AP26" s="14"/>
      <c r="AQ26" s="16"/>
      <c r="AR26" s="18">
        <f t="shared" si="8"/>
        <v>0</v>
      </c>
      <c r="AS26" s="16"/>
      <c r="AT26" s="19"/>
      <c r="AU26" s="14"/>
      <c r="AV26" s="16"/>
      <c r="AW26" s="18">
        <f t="shared" si="9"/>
        <v>0</v>
      </c>
      <c r="AX26" s="16"/>
      <c r="AY26" s="19"/>
      <c r="AZ26" s="14"/>
      <c r="BA26" s="16"/>
      <c r="BB26" s="18">
        <f t="shared" si="10"/>
        <v>0</v>
      </c>
      <c r="BC26" s="16"/>
      <c r="BD26" s="19"/>
      <c r="BE26" s="14"/>
      <c r="BF26" s="16"/>
      <c r="BG26" s="18">
        <f t="shared" si="11"/>
        <v>0</v>
      </c>
      <c r="BH26" s="16"/>
      <c r="BI26" s="19"/>
      <c r="BJ26" s="14"/>
      <c r="BK26" s="16"/>
      <c r="BL26" s="18">
        <f t="shared" si="12"/>
        <v>0</v>
      </c>
      <c r="BM26" s="16"/>
      <c r="BN26" s="19"/>
      <c r="BO26" s="14"/>
      <c r="BP26" s="16"/>
      <c r="BQ26" s="18">
        <f t="shared" si="13"/>
        <v>0</v>
      </c>
      <c r="BR26" s="16"/>
      <c r="BS26" s="19"/>
      <c r="BT26" s="16">
        <f t="shared" si="14"/>
        <v>0</v>
      </c>
      <c r="BU26" s="14"/>
      <c r="BV26" s="16"/>
      <c r="BW26" s="18">
        <f t="shared" si="15"/>
        <v>0</v>
      </c>
      <c r="BX26" s="16"/>
      <c r="BY26" s="19"/>
      <c r="BZ26" s="14"/>
      <c r="CA26" s="16"/>
      <c r="CB26" s="18">
        <f t="shared" si="16"/>
        <v>0</v>
      </c>
      <c r="CC26" s="16"/>
      <c r="CD26" s="19"/>
      <c r="CE26" s="14"/>
      <c r="CF26" s="16"/>
      <c r="CG26" s="18">
        <f t="shared" si="17"/>
        <v>0</v>
      </c>
      <c r="CH26" s="16"/>
      <c r="CI26" s="19"/>
      <c r="CJ26" s="14"/>
      <c r="CK26" s="16"/>
      <c r="CL26" s="18">
        <f t="shared" si="18"/>
        <v>0</v>
      </c>
      <c r="CM26" s="16"/>
      <c r="CN26" s="19"/>
      <c r="CO26" s="14"/>
      <c r="CP26" s="16"/>
      <c r="CQ26" s="18">
        <f t="shared" si="19"/>
        <v>0</v>
      </c>
      <c r="CR26" s="16"/>
      <c r="CS26" s="19"/>
      <c r="CT26" s="14"/>
      <c r="CU26" s="16"/>
      <c r="CV26" s="18">
        <f t="shared" si="20"/>
        <v>0</v>
      </c>
      <c r="CW26" s="16"/>
      <c r="CX26" s="19"/>
      <c r="CY26" s="14"/>
      <c r="CZ26" s="16"/>
      <c r="DA26" s="18">
        <f t="shared" si="21"/>
        <v>0</v>
      </c>
      <c r="DB26" s="16"/>
      <c r="DC26" s="19"/>
      <c r="DD26" s="14"/>
      <c r="DE26" s="16"/>
      <c r="DF26" s="18">
        <f t="shared" si="22"/>
        <v>0</v>
      </c>
      <c r="DG26" s="16"/>
      <c r="DH26" s="19"/>
      <c r="DI26" s="14"/>
      <c r="DJ26" s="16"/>
      <c r="DK26" s="18">
        <f t="shared" si="23"/>
        <v>0</v>
      </c>
      <c r="DL26" s="16"/>
      <c r="DM26" s="19"/>
      <c r="DN26" s="14"/>
      <c r="DO26" s="16"/>
      <c r="DP26" s="18">
        <f t="shared" si="24"/>
        <v>0</v>
      </c>
      <c r="DQ26" s="16"/>
      <c r="DR26" s="19"/>
      <c r="DS26" s="14"/>
      <c r="DT26" s="16"/>
      <c r="DU26" s="18">
        <f t="shared" si="25"/>
        <v>0</v>
      </c>
      <c r="DV26" s="16"/>
      <c r="DW26" s="19"/>
      <c r="DX26" s="14"/>
      <c r="DY26" s="16"/>
      <c r="DZ26" s="18">
        <f t="shared" si="26"/>
        <v>0</v>
      </c>
      <c r="EA26" s="16"/>
      <c r="EB26" s="19"/>
      <c r="EC26" s="16">
        <f t="shared" si="27"/>
        <v>0</v>
      </c>
      <c r="ED26" s="14"/>
      <c r="EE26" s="16"/>
      <c r="EF26" s="18">
        <f t="shared" si="28"/>
        <v>0</v>
      </c>
      <c r="EG26" s="16"/>
      <c r="EH26" s="19"/>
      <c r="EI26" s="14"/>
      <c r="EJ26" s="16"/>
      <c r="EK26" s="18">
        <f t="shared" si="29"/>
        <v>0</v>
      </c>
      <c r="EL26" s="16"/>
      <c r="EM26" s="19"/>
      <c r="EN26" s="14"/>
      <c r="EO26" s="16"/>
      <c r="EP26" s="18">
        <f t="shared" si="30"/>
        <v>0</v>
      </c>
      <c r="EQ26" s="16"/>
      <c r="ER26" s="19"/>
      <c r="ES26" s="14"/>
      <c r="ET26" s="16"/>
      <c r="EU26" s="18">
        <f t="shared" si="31"/>
        <v>0</v>
      </c>
      <c r="EV26" s="16"/>
      <c r="EW26" s="19"/>
      <c r="EX26" s="14"/>
      <c r="EY26" s="16"/>
      <c r="EZ26" s="18">
        <f t="shared" si="32"/>
        <v>0</v>
      </c>
      <c r="FA26" s="16"/>
      <c r="FB26" s="19"/>
      <c r="FC26" s="14"/>
      <c r="FD26" s="16"/>
      <c r="FE26" s="18">
        <f t="shared" si="33"/>
        <v>0</v>
      </c>
      <c r="FF26" s="16"/>
      <c r="FG26" s="19"/>
      <c r="FH26" s="14"/>
      <c r="FI26" s="16"/>
      <c r="FJ26" s="18">
        <f t="shared" si="34"/>
        <v>0</v>
      </c>
      <c r="FK26" s="16"/>
      <c r="FL26" s="19"/>
      <c r="FM26" s="14"/>
      <c r="FN26" s="16"/>
      <c r="FO26" s="18">
        <f t="shared" si="35"/>
        <v>0</v>
      </c>
      <c r="FP26" s="16"/>
      <c r="FQ26" s="19"/>
      <c r="FR26" s="14"/>
      <c r="FS26" s="16"/>
      <c r="FT26" s="18">
        <f t="shared" si="36"/>
        <v>0</v>
      </c>
      <c r="FU26" s="16"/>
      <c r="FV26" s="19"/>
      <c r="FW26" s="14"/>
      <c r="FX26" s="16"/>
      <c r="FY26" s="18">
        <f t="shared" si="37"/>
        <v>0</v>
      </c>
      <c r="FZ26" s="16"/>
      <c r="GA26" s="19"/>
      <c r="GB26" s="14"/>
      <c r="GC26" s="16"/>
      <c r="GD26" s="18">
        <f t="shared" si="38"/>
        <v>0</v>
      </c>
      <c r="GE26" s="16"/>
      <c r="GF26" s="19"/>
      <c r="GG26" s="14"/>
      <c r="GH26" s="16"/>
      <c r="GI26" s="18">
        <f t="shared" si="39"/>
        <v>0</v>
      </c>
      <c r="GJ26" s="16"/>
      <c r="GK26" s="19"/>
    </row>
    <row r="27" spans="1:193">
      <c r="A27" s="12">
        <v>24</v>
      </c>
      <c r="B27" s="13">
        <f>[1]项目立项!C47</f>
        <v>0</v>
      </c>
      <c r="C27" s="13">
        <f>[1]项目立项!D47</f>
        <v>0</v>
      </c>
      <c r="D27" s="13">
        <f>[1]项目立项!E47</f>
        <v>0</v>
      </c>
      <c r="E27" s="13">
        <f>[1]项目立项!F47</f>
        <v>0</v>
      </c>
      <c r="F27" s="14"/>
      <c r="G27" s="15">
        <f t="shared" si="0"/>
        <v>0</v>
      </c>
      <c r="H27" s="16"/>
      <c r="I27" s="17"/>
      <c r="J27" s="16"/>
      <c r="K27" s="16">
        <f t="shared" si="1"/>
        <v>0</v>
      </c>
      <c r="L27" s="14"/>
      <c r="M27" s="16"/>
      <c r="N27" s="18">
        <f t="shared" si="2"/>
        <v>0</v>
      </c>
      <c r="O27" s="16"/>
      <c r="P27" s="19"/>
      <c r="Q27" s="14"/>
      <c r="R27" s="16"/>
      <c r="S27" s="18">
        <f t="shared" si="3"/>
        <v>0</v>
      </c>
      <c r="T27" s="16"/>
      <c r="U27" s="19"/>
      <c r="V27" s="14"/>
      <c r="W27" s="16"/>
      <c r="X27" s="18">
        <f t="shared" si="4"/>
        <v>0</v>
      </c>
      <c r="Y27" s="16"/>
      <c r="Z27" s="19"/>
      <c r="AA27" s="14"/>
      <c r="AB27" s="16"/>
      <c r="AC27" s="18">
        <f t="shared" si="5"/>
        <v>0</v>
      </c>
      <c r="AD27" s="16"/>
      <c r="AE27" s="19"/>
      <c r="AF27" s="14"/>
      <c r="AG27" s="16"/>
      <c r="AH27" s="18">
        <f t="shared" si="6"/>
        <v>0</v>
      </c>
      <c r="AI27" s="16"/>
      <c r="AJ27" s="19"/>
      <c r="AK27" s="14"/>
      <c r="AL27" s="16"/>
      <c r="AM27" s="18">
        <f t="shared" si="7"/>
        <v>0</v>
      </c>
      <c r="AN27" s="16"/>
      <c r="AO27" s="19"/>
      <c r="AP27" s="14"/>
      <c r="AQ27" s="16"/>
      <c r="AR27" s="18">
        <f t="shared" si="8"/>
        <v>0</v>
      </c>
      <c r="AS27" s="16"/>
      <c r="AT27" s="19"/>
      <c r="AU27" s="14"/>
      <c r="AV27" s="16"/>
      <c r="AW27" s="18">
        <f t="shared" si="9"/>
        <v>0</v>
      </c>
      <c r="AX27" s="16"/>
      <c r="AY27" s="19"/>
      <c r="AZ27" s="14"/>
      <c r="BA27" s="16"/>
      <c r="BB27" s="18">
        <f t="shared" si="10"/>
        <v>0</v>
      </c>
      <c r="BC27" s="16"/>
      <c r="BD27" s="19"/>
      <c r="BE27" s="14"/>
      <c r="BF27" s="16"/>
      <c r="BG27" s="18">
        <f t="shared" si="11"/>
        <v>0</v>
      </c>
      <c r="BH27" s="16"/>
      <c r="BI27" s="19"/>
      <c r="BJ27" s="14"/>
      <c r="BK27" s="16"/>
      <c r="BL27" s="18">
        <f t="shared" si="12"/>
        <v>0</v>
      </c>
      <c r="BM27" s="16"/>
      <c r="BN27" s="19"/>
      <c r="BO27" s="14"/>
      <c r="BP27" s="16"/>
      <c r="BQ27" s="18">
        <f t="shared" si="13"/>
        <v>0</v>
      </c>
      <c r="BR27" s="16"/>
      <c r="BS27" s="19"/>
      <c r="BT27" s="16">
        <f t="shared" si="14"/>
        <v>0</v>
      </c>
      <c r="BU27" s="14"/>
      <c r="BV27" s="16"/>
      <c r="BW27" s="18">
        <f t="shared" si="15"/>
        <v>0</v>
      </c>
      <c r="BX27" s="16"/>
      <c r="BY27" s="19"/>
      <c r="BZ27" s="14"/>
      <c r="CA27" s="16"/>
      <c r="CB27" s="18">
        <f t="shared" si="16"/>
        <v>0</v>
      </c>
      <c r="CC27" s="16"/>
      <c r="CD27" s="19"/>
      <c r="CE27" s="14"/>
      <c r="CF27" s="16"/>
      <c r="CG27" s="18">
        <f t="shared" si="17"/>
        <v>0</v>
      </c>
      <c r="CH27" s="16"/>
      <c r="CI27" s="19"/>
      <c r="CJ27" s="14"/>
      <c r="CK27" s="16"/>
      <c r="CL27" s="18">
        <f t="shared" si="18"/>
        <v>0</v>
      </c>
      <c r="CM27" s="16"/>
      <c r="CN27" s="19"/>
      <c r="CO27" s="14"/>
      <c r="CP27" s="16"/>
      <c r="CQ27" s="18">
        <f t="shared" si="19"/>
        <v>0</v>
      </c>
      <c r="CR27" s="16"/>
      <c r="CS27" s="19"/>
      <c r="CT27" s="14"/>
      <c r="CU27" s="16"/>
      <c r="CV27" s="18">
        <f t="shared" si="20"/>
        <v>0</v>
      </c>
      <c r="CW27" s="16"/>
      <c r="CX27" s="19"/>
      <c r="CY27" s="14"/>
      <c r="CZ27" s="16"/>
      <c r="DA27" s="18">
        <f t="shared" si="21"/>
        <v>0</v>
      </c>
      <c r="DB27" s="16"/>
      <c r="DC27" s="19"/>
      <c r="DD27" s="14"/>
      <c r="DE27" s="16"/>
      <c r="DF27" s="18">
        <f t="shared" si="22"/>
        <v>0</v>
      </c>
      <c r="DG27" s="16"/>
      <c r="DH27" s="19"/>
      <c r="DI27" s="14"/>
      <c r="DJ27" s="16"/>
      <c r="DK27" s="18">
        <f t="shared" si="23"/>
        <v>0</v>
      </c>
      <c r="DL27" s="16"/>
      <c r="DM27" s="19"/>
      <c r="DN27" s="14"/>
      <c r="DO27" s="16"/>
      <c r="DP27" s="18">
        <f t="shared" si="24"/>
        <v>0</v>
      </c>
      <c r="DQ27" s="16"/>
      <c r="DR27" s="19"/>
      <c r="DS27" s="14"/>
      <c r="DT27" s="16"/>
      <c r="DU27" s="18">
        <f t="shared" si="25"/>
        <v>0</v>
      </c>
      <c r="DV27" s="16"/>
      <c r="DW27" s="19"/>
      <c r="DX27" s="14"/>
      <c r="DY27" s="16"/>
      <c r="DZ27" s="18">
        <f t="shared" si="26"/>
        <v>0</v>
      </c>
      <c r="EA27" s="16"/>
      <c r="EB27" s="19"/>
      <c r="EC27" s="16">
        <f t="shared" si="27"/>
        <v>0</v>
      </c>
      <c r="ED27" s="14"/>
      <c r="EE27" s="16"/>
      <c r="EF27" s="18">
        <f t="shared" si="28"/>
        <v>0</v>
      </c>
      <c r="EG27" s="16"/>
      <c r="EH27" s="19"/>
      <c r="EI27" s="14"/>
      <c r="EJ27" s="16"/>
      <c r="EK27" s="18">
        <f t="shared" si="29"/>
        <v>0</v>
      </c>
      <c r="EL27" s="16"/>
      <c r="EM27" s="19"/>
      <c r="EN27" s="14"/>
      <c r="EO27" s="16"/>
      <c r="EP27" s="18">
        <f t="shared" si="30"/>
        <v>0</v>
      </c>
      <c r="EQ27" s="16"/>
      <c r="ER27" s="19"/>
      <c r="ES27" s="14"/>
      <c r="ET27" s="16"/>
      <c r="EU27" s="18">
        <f t="shared" si="31"/>
        <v>0</v>
      </c>
      <c r="EV27" s="16"/>
      <c r="EW27" s="19"/>
      <c r="EX27" s="14"/>
      <c r="EY27" s="16"/>
      <c r="EZ27" s="18">
        <f t="shared" si="32"/>
        <v>0</v>
      </c>
      <c r="FA27" s="16"/>
      <c r="FB27" s="19"/>
      <c r="FC27" s="14"/>
      <c r="FD27" s="16"/>
      <c r="FE27" s="18">
        <f t="shared" si="33"/>
        <v>0</v>
      </c>
      <c r="FF27" s="16"/>
      <c r="FG27" s="19"/>
      <c r="FH27" s="14"/>
      <c r="FI27" s="16"/>
      <c r="FJ27" s="18">
        <f t="shared" si="34"/>
        <v>0</v>
      </c>
      <c r="FK27" s="16"/>
      <c r="FL27" s="19"/>
      <c r="FM27" s="14"/>
      <c r="FN27" s="16"/>
      <c r="FO27" s="18">
        <f t="shared" si="35"/>
        <v>0</v>
      </c>
      <c r="FP27" s="16"/>
      <c r="FQ27" s="19"/>
      <c r="FR27" s="14"/>
      <c r="FS27" s="16"/>
      <c r="FT27" s="18">
        <f t="shared" si="36"/>
        <v>0</v>
      </c>
      <c r="FU27" s="16"/>
      <c r="FV27" s="19"/>
      <c r="FW27" s="14"/>
      <c r="FX27" s="16"/>
      <c r="FY27" s="18">
        <f t="shared" si="37"/>
        <v>0</v>
      </c>
      <c r="FZ27" s="16"/>
      <c r="GA27" s="19"/>
      <c r="GB27" s="14"/>
      <c r="GC27" s="16"/>
      <c r="GD27" s="18">
        <f t="shared" si="38"/>
        <v>0</v>
      </c>
      <c r="GE27" s="16"/>
      <c r="GF27" s="19"/>
      <c r="GG27" s="14"/>
      <c r="GH27" s="16"/>
      <c r="GI27" s="18">
        <f t="shared" si="39"/>
        <v>0</v>
      </c>
      <c r="GJ27" s="16"/>
      <c r="GK27" s="19"/>
    </row>
    <row r="28" spans="1:193">
      <c r="A28" s="12">
        <v>25</v>
      </c>
      <c r="B28" s="13">
        <f>[1]项目立项!C48</f>
        <v>0</v>
      </c>
      <c r="C28" s="13">
        <f>[1]项目立项!D48</f>
        <v>0</v>
      </c>
      <c r="D28" s="13">
        <f>[1]项目立项!E48</f>
        <v>0</v>
      </c>
      <c r="E28" s="13">
        <f>[1]项目立项!F48</f>
        <v>0</v>
      </c>
      <c r="F28" s="14"/>
      <c r="G28" s="15">
        <f t="shared" si="0"/>
        <v>0</v>
      </c>
      <c r="H28" s="16"/>
      <c r="I28" s="17"/>
      <c r="J28" s="16"/>
      <c r="K28" s="16">
        <f t="shared" si="1"/>
        <v>0</v>
      </c>
      <c r="L28" s="14"/>
      <c r="M28" s="16"/>
      <c r="N28" s="18">
        <f t="shared" si="2"/>
        <v>0</v>
      </c>
      <c r="O28" s="16"/>
      <c r="P28" s="19"/>
      <c r="Q28" s="14"/>
      <c r="R28" s="16"/>
      <c r="S28" s="18">
        <f t="shared" si="3"/>
        <v>0</v>
      </c>
      <c r="T28" s="16"/>
      <c r="U28" s="19"/>
      <c r="V28" s="14"/>
      <c r="W28" s="16"/>
      <c r="X28" s="18">
        <f t="shared" si="4"/>
        <v>0</v>
      </c>
      <c r="Y28" s="16"/>
      <c r="Z28" s="19"/>
      <c r="AA28" s="14"/>
      <c r="AB28" s="16"/>
      <c r="AC28" s="18">
        <f t="shared" si="5"/>
        <v>0</v>
      </c>
      <c r="AD28" s="16"/>
      <c r="AE28" s="19"/>
      <c r="AF28" s="14"/>
      <c r="AG28" s="16"/>
      <c r="AH28" s="18">
        <f t="shared" si="6"/>
        <v>0</v>
      </c>
      <c r="AI28" s="16"/>
      <c r="AJ28" s="19"/>
      <c r="AK28" s="14"/>
      <c r="AL28" s="16"/>
      <c r="AM28" s="18">
        <f t="shared" si="7"/>
        <v>0</v>
      </c>
      <c r="AN28" s="16"/>
      <c r="AO28" s="19"/>
      <c r="AP28" s="14"/>
      <c r="AQ28" s="16"/>
      <c r="AR28" s="18">
        <f t="shared" si="8"/>
        <v>0</v>
      </c>
      <c r="AS28" s="16"/>
      <c r="AT28" s="19"/>
      <c r="AU28" s="14"/>
      <c r="AV28" s="16"/>
      <c r="AW28" s="18">
        <f t="shared" si="9"/>
        <v>0</v>
      </c>
      <c r="AX28" s="16"/>
      <c r="AY28" s="19"/>
      <c r="AZ28" s="14"/>
      <c r="BA28" s="16"/>
      <c r="BB28" s="18">
        <f t="shared" si="10"/>
        <v>0</v>
      </c>
      <c r="BC28" s="16"/>
      <c r="BD28" s="19"/>
      <c r="BE28" s="14"/>
      <c r="BF28" s="16"/>
      <c r="BG28" s="18">
        <f t="shared" si="11"/>
        <v>0</v>
      </c>
      <c r="BH28" s="16"/>
      <c r="BI28" s="19"/>
      <c r="BJ28" s="14"/>
      <c r="BK28" s="16"/>
      <c r="BL28" s="18">
        <f t="shared" si="12"/>
        <v>0</v>
      </c>
      <c r="BM28" s="16"/>
      <c r="BN28" s="19"/>
      <c r="BO28" s="14"/>
      <c r="BP28" s="16"/>
      <c r="BQ28" s="18">
        <f t="shared" si="13"/>
        <v>0</v>
      </c>
      <c r="BR28" s="16"/>
      <c r="BS28" s="19"/>
      <c r="BT28" s="16">
        <f t="shared" si="14"/>
        <v>0</v>
      </c>
      <c r="BU28" s="14"/>
      <c r="BV28" s="16"/>
      <c r="BW28" s="18">
        <f t="shared" si="15"/>
        <v>0</v>
      </c>
      <c r="BX28" s="16"/>
      <c r="BY28" s="19"/>
      <c r="BZ28" s="14"/>
      <c r="CA28" s="16"/>
      <c r="CB28" s="18">
        <f t="shared" si="16"/>
        <v>0</v>
      </c>
      <c r="CC28" s="16"/>
      <c r="CD28" s="19"/>
      <c r="CE28" s="14"/>
      <c r="CF28" s="16"/>
      <c r="CG28" s="18">
        <f t="shared" si="17"/>
        <v>0</v>
      </c>
      <c r="CH28" s="16"/>
      <c r="CI28" s="19"/>
      <c r="CJ28" s="14"/>
      <c r="CK28" s="16"/>
      <c r="CL28" s="18">
        <f t="shared" si="18"/>
        <v>0</v>
      </c>
      <c r="CM28" s="16"/>
      <c r="CN28" s="19"/>
      <c r="CO28" s="14"/>
      <c r="CP28" s="16"/>
      <c r="CQ28" s="18">
        <f t="shared" si="19"/>
        <v>0</v>
      </c>
      <c r="CR28" s="16"/>
      <c r="CS28" s="19"/>
      <c r="CT28" s="14"/>
      <c r="CU28" s="16"/>
      <c r="CV28" s="18">
        <f t="shared" si="20"/>
        <v>0</v>
      </c>
      <c r="CW28" s="16"/>
      <c r="CX28" s="19"/>
      <c r="CY28" s="14"/>
      <c r="CZ28" s="16"/>
      <c r="DA28" s="18">
        <f t="shared" si="21"/>
        <v>0</v>
      </c>
      <c r="DB28" s="16"/>
      <c r="DC28" s="19"/>
      <c r="DD28" s="14"/>
      <c r="DE28" s="16"/>
      <c r="DF28" s="18">
        <f t="shared" si="22"/>
        <v>0</v>
      </c>
      <c r="DG28" s="16"/>
      <c r="DH28" s="19"/>
      <c r="DI28" s="14"/>
      <c r="DJ28" s="16"/>
      <c r="DK28" s="18">
        <f t="shared" si="23"/>
        <v>0</v>
      </c>
      <c r="DL28" s="16"/>
      <c r="DM28" s="19"/>
      <c r="DN28" s="14"/>
      <c r="DO28" s="16"/>
      <c r="DP28" s="18">
        <f t="shared" si="24"/>
        <v>0</v>
      </c>
      <c r="DQ28" s="16"/>
      <c r="DR28" s="19"/>
      <c r="DS28" s="14"/>
      <c r="DT28" s="16"/>
      <c r="DU28" s="18">
        <f t="shared" si="25"/>
        <v>0</v>
      </c>
      <c r="DV28" s="16"/>
      <c r="DW28" s="19"/>
      <c r="DX28" s="14"/>
      <c r="DY28" s="16"/>
      <c r="DZ28" s="18">
        <f t="shared" si="26"/>
        <v>0</v>
      </c>
      <c r="EA28" s="16"/>
      <c r="EB28" s="19"/>
      <c r="EC28" s="16">
        <f t="shared" si="27"/>
        <v>0</v>
      </c>
      <c r="ED28" s="14"/>
      <c r="EE28" s="16"/>
      <c r="EF28" s="18">
        <f t="shared" si="28"/>
        <v>0</v>
      </c>
      <c r="EG28" s="16"/>
      <c r="EH28" s="19"/>
      <c r="EI28" s="14"/>
      <c r="EJ28" s="16"/>
      <c r="EK28" s="18">
        <f t="shared" si="29"/>
        <v>0</v>
      </c>
      <c r="EL28" s="16"/>
      <c r="EM28" s="19"/>
      <c r="EN28" s="14"/>
      <c r="EO28" s="16"/>
      <c r="EP28" s="18">
        <f t="shared" si="30"/>
        <v>0</v>
      </c>
      <c r="EQ28" s="16"/>
      <c r="ER28" s="19"/>
      <c r="ES28" s="14"/>
      <c r="ET28" s="16"/>
      <c r="EU28" s="18">
        <f t="shared" si="31"/>
        <v>0</v>
      </c>
      <c r="EV28" s="16"/>
      <c r="EW28" s="19"/>
      <c r="EX28" s="14"/>
      <c r="EY28" s="16"/>
      <c r="EZ28" s="18">
        <f t="shared" si="32"/>
        <v>0</v>
      </c>
      <c r="FA28" s="16"/>
      <c r="FB28" s="19"/>
      <c r="FC28" s="14"/>
      <c r="FD28" s="16"/>
      <c r="FE28" s="18">
        <f t="shared" si="33"/>
        <v>0</v>
      </c>
      <c r="FF28" s="16"/>
      <c r="FG28" s="19"/>
      <c r="FH28" s="14"/>
      <c r="FI28" s="16"/>
      <c r="FJ28" s="18">
        <f t="shared" si="34"/>
        <v>0</v>
      </c>
      <c r="FK28" s="16"/>
      <c r="FL28" s="19"/>
      <c r="FM28" s="14"/>
      <c r="FN28" s="16"/>
      <c r="FO28" s="18">
        <f t="shared" si="35"/>
        <v>0</v>
      </c>
      <c r="FP28" s="16"/>
      <c r="FQ28" s="19"/>
      <c r="FR28" s="14"/>
      <c r="FS28" s="16"/>
      <c r="FT28" s="18">
        <f t="shared" si="36"/>
        <v>0</v>
      </c>
      <c r="FU28" s="16"/>
      <c r="FV28" s="19"/>
      <c r="FW28" s="14"/>
      <c r="FX28" s="16"/>
      <c r="FY28" s="18">
        <f t="shared" si="37"/>
        <v>0</v>
      </c>
      <c r="FZ28" s="16"/>
      <c r="GA28" s="19"/>
      <c r="GB28" s="14"/>
      <c r="GC28" s="16"/>
      <c r="GD28" s="18">
        <f t="shared" si="38"/>
        <v>0</v>
      </c>
      <c r="GE28" s="16"/>
      <c r="GF28" s="19"/>
      <c r="GG28" s="14"/>
      <c r="GH28" s="16"/>
      <c r="GI28" s="18">
        <f t="shared" si="39"/>
        <v>0</v>
      </c>
      <c r="GJ28" s="16"/>
      <c r="GK28" s="19"/>
    </row>
    <row r="29" spans="1:193">
      <c r="A29" s="12">
        <v>26</v>
      </c>
      <c r="B29" s="13">
        <f>[1]项目立项!C49</f>
        <v>0</v>
      </c>
      <c r="C29" s="13">
        <f>[1]项目立项!D49</f>
        <v>0</v>
      </c>
      <c r="D29" s="13">
        <f>[1]项目立项!E49</f>
        <v>0</v>
      </c>
      <c r="E29" s="13">
        <f>[1]项目立项!F49</f>
        <v>0</v>
      </c>
      <c r="F29" s="14"/>
      <c r="G29" s="15">
        <f t="shared" si="0"/>
        <v>0</v>
      </c>
      <c r="H29" s="16"/>
      <c r="I29" s="17"/>
      <c r="J29" s="16"/>
      <c r="K29" s="16">
        <f t="shared" si="1"/>
        <v>0</v>
      </c>
      <c r="L29" s="14"/>
      <c r="M29" s="16"/>
      <c r="N29" s="18">
        <f t="shared" si="2"/>
        <v>0</v>
      </c>
      <c r="O29" s="16"/>
      <c r="P29" s="19"/>
      <c r="Q29" s="14"/>
      <c r="R29" s="16"/>
      <c r="S29" s="18">
        <f t="shared" si="3"/>
        <v>0</v>
      </c>
      <c r="T29" s="16"/>
      <c r="U29" s="19"/>
      <c r="V29" s="14"/>
      <c r="W29" s="16"/>
      <c r="X29" s="18">
        <f t="shared" si="4"/>
        <v>0</v>
      </c>
      <c r="Y29" s="16"/>
      <c r="Z29" s="19"/>
      <c r="AA29" s="14"/>
      <c r="AB29" s="16"/>
      <c r="AC29" s="18">
        <f t="shared" si="5"/>
        <v>0</v>
      </c>
      <c r="AD29" s="16"/>
      <c r="AE29" s="19"/>
      <c r="AF29" s="14"/>
      <c r="AG29" s="16"/>
      <c r="AH29" s="18">
        <f t="shared" si="6"/>
        <v>0</v>
      </c>
      <c r="AI29" s="16"/>
      <c r="AJ29" s="19"/>
      <c r="AK29" s="14"/>
      <c r="AL29" s="16"/>
      <c r="AM29" s="18">
        <f t="shared" si="7"/>
        <v>0</v>
      </c>
      <c r="AN29" s="16"/>
      <c r="AO29" s="19"/>
      <c r="AP29" s="14"/>
      <c r="AQ29" s="16"/>
      <c r="AR29" s="18">
        <f t="shared" si="8"/>
        <v>0</v>
      </c>
      <c r="AS29" s="16"/>
      <c r="AT29" s="19"/>
      <c r="AU29" s="14"/>
      <c r="AV29" s="16"/>
      <c r="AW29" s="18">
        <f t="shared" si="9"/>
        <v>0</v>
      </c>
      <c r="AX29" s="16"/>
      <c r="AY29" s="19"/>
      <c r="AZ29" s="14"/>
      <c r="BA29" s="16"/>
      <c r="BB29" s="18">
        <f t="shared" si="10"/>
        <v>0</v>
      </c>
      <c r="BC29" s="16"/>
      <c r="BD29" s="19"/>
      <c r="BE29" s="14"/>
      <c r="BF29" s="16"/>
      <c r="BG29" s="18">
        <f t="shared" si="11"/>
        <v>0</v>
      </c>
      <c r="BH29" s="16"/>
      <c r="BI29" s="19"/>
      <c r="BJ29" s="14"/>
      <c r="BK29" s="16"/>
      <c r="BL29" s="18">
        <f t="shared" si="12"/>
        <v>0</v>
      </c>
      <c r="BM29" s="16"/>
      <c r="BN29" s="19"/>
      <c r="BO29" s="14"/>
      <c r="BP29" s="16"/>
      <c r="BQ29" s="18">
        <f t="shared" si="13"/>
        <v>0</v>
      </c>
      <c r="BR29" s="16"/>
      <c r="BS29" s="19"/>
      <c r="BT29" s="16">
        <f t="shared" si="14"/>
        <v>0</v>
      </c>
      <c r="BU29" s="14"/>
      <c r="BV29" s="16"/>
      <c r="BW29" s="18">
        <f t="shared" si="15"/>
        <v>0</v>
      </c>
      <c r="BX29" s="16"/>
      <c r="BY29" s="19"/>
      <c r="BZ29" s="14"/>
      <c r="CA29" s="16"/>
      <c r="CB29" s="18">
        <f t="shared" si="16"/>
        <v>0</v>
      </c>
      <c r="CC29" s="16"/>
      <c r="CD29" s="19"/>
      <c r="CE29" s="14"/>
      <c r="CF29" s="16"/>
      <c r="CG29" s="18">
        <f t="shared" si="17"/>
        <v>0</v>
      </c>
      <c r="CH29" s="16"/>
      <c r="CI29" s="19"/>
      <c r="CJ29" s="14"/>
      <c r="CK29" s="16"/>
      <c r="CL29" s="18">
        <f t="shared" si="18"/>
        <v>0</v>
      </c>
      <c r="CM29" s="16"/>
      <c r="CN29" s="19"/>
      <c r="CO29" s="14"/>
      <c r="CP29" s="16"/>
      <c r="CQ29" s="18">
        <f t="shared" si="19"/>
        <v>0</v>
      </c>
      <c r="CR29" s="16"/>
      <c r="CS29" s="19"/>
      <c r="CT29" s="14"/>
      <c r="CU29" s="16"/>
      <c r="CV29" s="18">
        <f t="shared" si="20"/>
        <v>0</v>
      </c>
      <c r="CW29" s="16"/>
      <c r="CX29" s="19"/>
      <c r="CY29" s="14"/>
      <c r="CZ29" s="16"/>
      <c r="DA29" s="18">
        <f t="shared" si="21"/>
        <v>0</v>
      </c>
      <c r="DB29" s="16"/>
      <c r="DC29" s="19"/>
      <c r="DD29" s="14"/>
      <c r="DE29" s="16"/>
      <c r="DF29" s="18">
        <f t="shared" si="22"/>
        <v>0</v>
      </c>
      <c r="DG29" s="16"/>
      <c r="DH29" s="19"/>
      <c r="DI29" s="14"/>
      <c r="DJ29" s="16"/>
      <c r="DK29" s="18">
        <f t="shared" si="23"/>
        <v>0</v>
      </c>
      <c r="DL29" s="16"/>
      <c r="DM29" s="19"/>
      <c r="DN29" s="14"/>
      <c r="DO29" s="16"/>
      <c r="DP29" s="18">
        <f t="shared" si="24"/>
        <v>0</v>
      </c>
      <c r="DQ29" s="16"/>
      <c r="DR29" s="19"/>
      <c r="DS29" s="14"/>
      <c r="DT29" s="16"/>
      <c r="DU29" s="18">
        <f t="shared" si="25"/>
        <v>0</v>
      </c>
      <c r="DV29" s="16"/>
      <c r="DW29" s="19"/>
      <c r="DX29" s="14"/>
      <c r="DY29" s="16"/>
      <c r="DZ29" s="18">
        <f t="shared" si="26"/>
        <v>0</v>
      </c>
      <c r="EA29" s="16"/>
      <c r="EB29" s="19"/>
      <c r="EC29" s="16">
        <f t="shared" si="27"/>
        <v>0</v>
      </c>
      <c r="ED29" s="14"/>
      <c r="EE29" s="16"/>
      <c r="EF29" s="18">
        <f t="shared" si="28"/>
        <v>0</v>
      </c>
      <c r="EG29" s="16"/>
      <c r="EH29" s="19"/>
      <c r="EI29" s="14"/>
      <c r="EJ29" s="16"/>
      <c r="EK29" s="18">
        <f t="shared" si="29"/>
        <v>0</v>
      </c>
      <c r="EL29" s="16"/>
      <c r="EM29" s="19"/>
      <c r="EN29" s="14"/>
      <c r="EO29" s="16"/>
      <c r="EP29" s="18">
        <f t="shared" si="30"/>
        <v>0</v>
      </c>
      <c r="EQ29" s="16"/>
      <c r="ER29" s="19"/>
      <c r="ES29" s="14"/>
      <c r="ET29" s="16"/>
      <c r="EU29" s="18">
        <f t="shared" si="31"/>
        <v>0</v>
      </c>
      <c r="EV29" s="16"/>
      <c r="EW29" s="19"/>
      <c r="EX29" s="14"/>
      <c r="EY29" s="16"/>
      <c r="EZ29" s="18">
        <f t="shared" si="32"/>
        <v>0</v>
      </c>
      <c r="FA29" s="16"/>
      <c r="FB29" s="19"/>
      <c r="FC29" s="14"/>
      <c r="FD29" s="16"/>
      <c r="FE29" s="18">
        <f t="shared" si="33"/>
        <v>0</v>
      </c>
      <c r="FF29" s="16"/>
      <c r="FG29" s="19"/>
      <c r="FH29" s="14"/>
      <c r="FI29" s="16"/>
      <c r="FJ29" s="18">
        <f t="shared" si="34"/>
        <v>0</v>
      </c>
      <c r="FK29" s="16"/>
      <c r="FL29" s="19"/>
      <c r="FM29" s="14"/>
      <c r="FN29" s="16"/>
      <c r="FO29" s="18">
        <f t="shared" si="35"/>
        <v>0</v>
      </c>
      <c r="FP29" s="16"/>
      <c r="FQ29" s="19"/>
      <c r="FR29" s="14"/>
      <c r="FS29" s="16"/>
      <c r="FT29" s="18">
        <f t="shared" si="36"/>
        <v>0</v>
      </c>
      <c r="FU29" s="16"/>
      <c r="FV29" s="19"/>
      <c r="FW29" s="14"/>
      <c r="FX29" s="16"/>
      <c r="FY29" s="18">
        <f t="shared" si="37"/>
        <v>0</v>
      </c>
      <c r="FZ29" s="16"/>
      <c r="GA29" s="19"/>
      <c r="GB29" s="14"/>
      <c r="GC29" s="16"/>
      <c r="GD29" s="18">
        <f t="shared" si="38"/>
        <v>0</v>
      </c>
      <c r="GE29" s="16"/>
      <c r="GF29" s="19"/>
      <c r="GG29" s="14"/>
      <c r="GH29" s="16"/>
      <c r="GI29" s="18">
        <f t="shared" si="39"/>
        <v>0</v>
      </c>
      <c r="GJ29" s="16"/>
      <c r="GK29" s="19"/>
    </row>
    <row r="30" spans="1:193">
      <c r="A30" s="12">
        <v>27</v>
      </c>
      <c r="B30" s="13">
        <f>[1]项目立项!C50</f>
        <v>0</v>
      </c>
      <c r="C30" s="13">
        <f>[1]项目立项!D50</f>
        <v>0</v>
      </c>
      <c r="D30" s="13">
        <f>[1]项目立项!E50</f>
        <v>0</v>
      </c>
      <c r="E30" s="13">
        <f>[1]项目立项!F50</f>
        <v>0</v>
      </c>
      <c r="F30" s="14"/>
      <c r="G30" s="15">
        <f t="shared" si="0"/>
        <v>0</v>
      </c>
      <c r="H30" s="16"/>
      <c r="I30" s="17"/>
      <c r="J30" s="16"/>
      <c r="K30" s="16">
        <f t="shared" si="1"/>
        <v>0</v>
      </c>
      <c r="L30" s="14"/>
      <c r="M30" s="16"/>
      <c r="N30" s="18">
        <f t="shared" si="2"/>
        <v>0</v>
      </c>
      <c r="O30" s="16"/>
      <c r="P30" s="19"/>
      <c r="Q30" s="14"/>
      <c r="R30" s="16"/>
      <c r="S30" s="18">
        <f t="shared" si="3"/>
        <v>0</v>
      </c>
      <c r="T30" s="16"/>
      <c r="U30" s="19"/>
      <c r="V30" s="14"/>
      <c r="W30" s="16"/>
      <c r="X30" s="18">
        <f t="shared" si="4"/>
        <v>0</v>
      </c>
      <c r="Y30" s="16"/>
      <c r="Z30" s="19"/>
      <c r="AA30" s="14"/>
      <c r="AB30" s="16"/>
      <c r="AC30" s="18">
        <f t="shared" si="5"/>
        <v>0</v>
      </c>
      <c r="AD30" s="16"/>
      <c r="AE30" s="19"/>
      <c r="AF30" s="14"/>
      <c r="AG30" s="16"/>
      <c r="AH30" s="18">
        <f t="shared" si="6"/>
        <v>0</v>
      </c>
      <c r="AI30" s="16"/>
      <c r="AJ30" s="19"/>
      <c r="AK30" s="14"/>
      <c r="AL30" s="16"/>
      <c r="AM30" s="18">
        <f t="shared" si="7"/>
        <v>0</v>
      </c>
      <c r="AN30" s="16"/>
      <c r="AO30" s="19"/>
      <c r="AP30" s="14"/>
      <c r="AQ30" s="16"/>
      <c r="AR30" s="18">
        <f t="shared" si="8"/>
        <v>0</v>
      </c>
      <c r="AS30" s="16"/>
      <c r="AT30" s="19"/>
      <c r="AU30" s="14"/>
      <c r="AV30" s="16"/>
      <c r="AW30" s="18">
        <f t="shared" si="9"/>
        <v>0</v>
      </c>
      <c r="AX30" s="16"/>
      <c r="AY30" s="19"/>
      <c r="AZ30" s="14"/>
      <c r="BA30" s="16"/>
      <c r="BB30" s="18">
        <f t="shared" si="10"/>
        <v>0</v>
      </c>
      <c r="BC30" s="16"/>
      <c r="BD30" s="19"/>
      <c r="BE30" s="14"/>
      <c r="BF30" s="16"/>
      <c r="BG30" s="18">
        <f t="shared" si="11"/>
        <v>0</v>
      </c>
      <c r="BH30" s="16"/>
      <c r="BI30" s="19"/>
      <c r="BJ30" s="14"/>
      <c r="BK30" s="16"/>
      <c r="BL30" s="18">
        <f t="shared" si="12"/>
        <v>0</v>
      </c>
      <c r="BM30" s="16"/>
      <c r="BN30" s="19"/>
      <c r="BO30" s="14"/>
      <c r="BP30" s="16"/>
      <c r="BQ30" s="18">
        <f t="shared" si="13"/>
        <v>0</v>
      </c>
      <c r="BR30" s="16"/>
      <c r="BS30" s="19"/>
      <c r="BT30" s="16">
        <f t="shared" si="14"/>
        <v>0</v>
      </c>
      <c r="BU30" s="14"/>
      <c r="BV30" s="16"/>
      <c r="BW30" s="18">
        <f t="shared" si="15"/>
        <v>0</v>
      </c>
      <c r="BX30" s="16"/>
      <c r="BY30" s="19"/>
      <c r="BZ30" s="14"/>
      <c r="CA30" s="16"/>
      <c r="CB30" s="18">
        <f t="shared" si="16"/>
        <v>0</v>
      </c>
      <c r="CC30" s="16"/>
      <c r="CD30" s="19"/>
      <c r="CE30" s="14"/>
      <c r="CF30" s="16"/>
      <c r="CG30" s="18">
        <f t="shared" si="17"/>
        <v>0</v>
      </c>
      <c r="CH30" s="16"/>
      <c r="CI30" s="19"/>
      <c r="CJ30" s="14"/>
      <c r="CK30" s="16"/>
      <c r="CL30" s="18">
        <f t="shared" si="18"/>
        <v>0</v>
      </c>
      <c r="CM30" s="16"/>
      <c r="CN30" s="19"/>
      <c r="CO30" s="14"/>
      <c r="CP30" s="16"/>
      <c r="CQ30" s="18">
        <f t="shared" si="19"/>
        <v>0</v>
      </c>
      <c r="CR30" s="16"/>
      <c r="CS30" s="19"/>
      <c r="CT30" s="14"/>
      <c r="CU30" s="16"/>
      <c r="CV30" s="18">
        <f t="shared" si="20"/>
        <v>0</v>
      </c>
      <c r="CW30" s="16"/>
      <c r="CX30" s="19"/>
      <c r="CY30" s="14"/>
      <c r="CZ30" s="16"/>
      <c r="DA30" s="18">
        <f t="shared" si="21"/>
        <v>0</v>
      </c>
      <c r="DB30" s="16"/>
      <c r="DC30" s="19"/>
      <c r="DD30" s="14"/>
      <c r="DE30" s="16"/>
      <c r="DF30" s="18">
        <f t="shared" si="22"/>
        <v>0</v>
      </c>
      <c r="DG30" s="16"/>
      <c r="DH30" s="19"/>
      <c r="DI30" s="14"/>
      <c r="DJ30" s="16"/>
      <c r="DK30" s="18">
        <f t="shared" si="23"/>
        <v>0</v>
      </c>
      <c r="DL30" s="16"/>
      <c r="DM30" s="19"/>
      <c r="DN30" s="14"/>
      <c r="DO30" s="16"/>
      <c r="DP30" s="18">
        <f t="shared" si="24"/>
        <v>0</v>
      </c>
      <c r="DQ30" s="16"/>
      <c r="DR30" s="19"/>
      <c r="DS30" s="14"/>
      <c r="DT30" s="16"/>
      <c r="DU30" s="18">
        <f t="shared" si="25"/>
        <v>0</v>
      </c>
      <c r="DV30" s="16"/>
      <c r="DW30" s="19"/>
      <c r="DX30" s="14"/>
      <c r="DY30" s="16"/>
      <c r="DZ30" s="18">
        <f t="shared" si="26"/>
        <v>0</v>
      </c>
      <c r="EA30" s="16"/>
      <c r="EB30" s="19"/>
      <c r="EC30" s="16">
        <f t="shared" si="27"/>
        <v>0</v>
      </c>
      <c r="ED30" s="14"/>
      <c r="EE30" s="16"/>
      <c r="EF30" s="18">
        <f t="shared" si="28"/>
        <v>0</v>
      </c>
      <c r="EG30" s="16"/>
      <c r="EH30" s="19"/>
      <c r="EI30" s="14"/>
      <c r="EJ30" s="16"/>
      <c r="EK30" s="18">
        <f t="shared" si="29"/>
        <v>0</v>
      </c>
      <c r="EL30" s="16"/>
      <c r="EM30" s="19"/>
      <c r="EN30" s="14"/>
      <c r="EO30" s="16"/>
      <c r="EP30" s="18">
        <f t="shared" si="30"/>
        <v>0</v>
      </c>
      <c r="EQ30" s="16"/>
      <c r="ER30" s="19"/>
      <c r="ES30" s="14"/>
      <c r="ET30" s="16"/>
      <c r="EU30" s="18">
        <f t="shared" si="31"/>
        <v>0</v>
      </c>
      <c r="EV30" s="16"/>
      <c r="EW30" s="19"/>
      <c r="EX30" s="14"/>
      <c r="EY30" s="16"/>
      <c r="EZ30" s="18">
        <f t="shared" si="32"/>
        <v>0</v>
      </c>
      <c r="FA30" s="16"/>
      <c r="FB30" s="19"/>
      <c r="FC30" s="14"/>
      <c r="FD30" s="16"/>
      <c r="FE30" s="18">
        <f t="shared" si="33"/>
        <v>0</v>
      </c>
      <c r="FF30" s="16"/>
      <c r="FG30" s="19"/>
      <c r="FH30" s="14"/>
      <c r="FI30" s="16"/>
      <c r="FJ30" s="18">
        <f t="shared" si="34"/>
        <v>0</v>
      </c>
      <c r="FK30" s="16"/>
      <c r="FL30" s="19"/>
      <c r="FM30" s="14"/>
      <c r="FN30" s="16"/>
      <c r="FO30" s="18">
        <f t="shared" si="35"/>
        <v>0</v>
      </c>
      <c r="FP30" s="16"/>
      <c r="FQ30" s="19"/>
      <c r="FR30" s="14"/>
      <c r="FS30" s="16"/>
      <c r="FT30" s="18">
        <f t="shared" si="36"/>
        <v>0</v>
      </c>
      <c r="FU30" s="16"/>
      <c r="FV30" s="19"/>
      <c r="FW30" s="14"/>
      <c r="FX30" s="16"/>
      <c r="FY30" s="18">
        <f t="shared" si="37"/>
        <v>0</v>
      </c>
      <c r="FZ30" s="16"/>
      <c r="GA30" s="19"/>
      <c r="GB30" s="14"/>
      <c r="GC30" s="16"/>
      <c r="GD30" s="18">
        <f t="shared" si="38"/>
        <v>0</v>
      </c>
      <c r="GE30" s="16"/>
      <c r="GF30" s="19"/>
      <c r="GG30" s="14"/>
      <c r="GH30" s="16"/>
      <c r="GI30" s="18">
        <f t="shared" si="39"/>
        <v>0</v>
      </c>
      <c r="GJ30" s="16"/>
      <c r="GK30" s="19"/>
    </row>
    <row r="31" spans="1:193">
      <c r="A31" s="12">
        <v>28</v>
      </c>
      <c r="B31" s="13">
        <f>[1]项目立项!C51</f>
        <v>0</v>
      </c>
      <c r="C31" s="13">
        <f>[1]项目立项!D51</f>
        <v>0</v>
      </c>
      <c r="D31" s="13">
        <f>[1]项目立项!E51</f>
        <v>0</v>
      </c>
      <c r="E31" s="13">
        <f>[1]项目立项!F51</f>
        <v>0</v>
      </c>
      <c r="F31" s="14"/>
      <c r="G31" s="15">
        <f t="shared" si="0"/>
        <v>0</v>
      </c>
      <c r="H31" s="16"/>
      <c r="I31" s="17"/>
      <c r="J31" s="16"/>
      <c r="K31" s="16">
        <f t="shared" si="1"/>
        <v>0</v>
      </c>
      <c r="L31" s="14"/>
      <c r="M31" s="16"/>
      <c r="N31" s="18">
        <f t="shared" si="2"/>
        <v>0</v>
      </c>
      <c r="O31" s="16"/>
      <c r="P31" s="19"/>
      <c r="Q31" s="14"/>
      <c r="R31" s="16"/>
      <c r="S31" s="18">
        <f t="shared" si="3"/>
        <v>0</v>
      </c>
      <c r="T31" s="16"/>
      <c r="U31" s="19"/>
      <c r="V31" s="14"/>
      <c r="W31" s="16"/>
      <c r="X31" s="18">
        <f t="shared" si="4"/>
        <v>0</v>
      </c>
      <c r="Y31" s="16"/>
      <c r="Z31" s="19"/>
      <c r="AA31" s="14"/>
      <c r="AB31" s="16"/>
      <c r="AC31" s="18">
        <f t="shared" si="5"/>
        <v>0</v>
      </c>
      <c r="AD31" s="16"/>
      <c r="AE31" s="19"/>
      <c r="AF31" s="14"/>
      <c r="AG31" s="16"/>
      <c r="AH31" s="18">
        <f t="shared" si="6"/>
        <v>0</v>
      </c>
      <c r="AI31" s="16"/>
      <c r="AJ31" s="19"/>
      <c r="AK31" s="14"/>
      <c r="AL31" s="16"/>
      <c r="AM31" s="18">
        <f t="shared" si="7"/>
        <v>0</v>
      </c>
      <c r="AN31" s="16"/>
      <c r="AO31" s="19"/>
      <c r="AP31" s="14"/>
      <c r="AQ31" s="16"/>
      <c r="AR31" s="18">
        <f t="shared" si="8"/>
        <v>0</v>
      </c>
      <c r="AS31" s="16"/>
      <c r="AT31" s="19"/>
      <c r="AU31" s="14"/>
      <c r="AV31" s="16"/>
      <c r="AW31" s="18">
        <f t="shared" si="9"/>
        <v>0</v>
      </c>
      <c r="AX31" s="16"/>
      <c r="AY31" s="19"/>
      <c r="AZ31" s="14"/>
      <c r="BA31" s="16"/>
      <c r="BB31" s="18">
        <f t="shared" si="10"/>
        <v>0</v>
      </c>
      <c r="BC31" s="16"/>
      <c r="BD31" s="19"/>
      <c r="BE31" s="14"/>
      <c r="BF31" s="16"/>
      <c r="BG31" s="18">
        <f t="shared" si="11"/>
        <v>0</v>
      </c>
      <c r="BH31" s="16"/>
      <c r="BI31" s="19"/>
      <c r="BJ31" s="14"/>
      <c r="BK31" s="16"/>
      <c r="BL31" s="18">
        <f t="shared" si="12"/>
        <v>0</v>
      </c>
      <c r="BM31" s="16"/>
      <c r="BN31" s="19"/>
      <c r="BO31" s="14"/>
      <c r="BP31" s="16"/>
      <c r="BQ31" s="18">
        <f t="shared" si="13"/>
        <v>0</v>
      </c>
      <c r="BR31" s="16"/>
      <c r="BS31" s="19"/>
      <c r="BT31" s="16">
        <f t="shared" si="14"/>
        <v>0</v>
      </c>
      <c r="BU31" s="14"/>
      <c r="BV31" s="16"/>
      <c r="BW31" s="18">
        <f t="shared" si="15"/>
        <v>0</v>
      </c>
      <c r="BX31" s="16"/>
      <c r="BY31" s="19"/>
      <c r="BZ31" s="14"/>
      <c r="CA31" s="16"/>
      <c r="CB31" s="18">
        <f t="shared" si="16"/>
        <v>0</v>
      </c>
      <c r="CC31" s="16"/>
      <c r="CD31" s="19"/>
      <c r="CE31" s="14"/>
      <c r="CF31" s="16"/>
      <c r="CG31" s="18">
        <f t="shared" si="17"/>
        <v>0</v>
      </c>
      <c r="CH31" s="16"/>
      <c r="CI31" s="19"/>
      <c r="CJ31" s="14"/>
      <c r="CK31" s="16"/>
      <c r="CL31" s="18">
        <f t="shared" si="18"/>
        <v>0</v>
      </c>
      <c r="CM31" s="16"/>
      <c r="CN31" s="19"/>
      <c r="CO31" s="14"/>
      <c r="CP31" s="16"/>
      <c r="CQ31" s="18">
        <f t="shared" si="19"/>
        <v>0</v>
      </c>
      <c r="CR31" s="16"/>
      <c r="CS31" s="19"/>
      <c r="CT31" s="14"/>
      <c r="CU31" s="16"/>
      <c r="CV31" s="18">
        <f t="shared" si="20"/>
        <v>0</v>
      </c>
      <c r="CW31" s="16"/>
      <c r="CX31" s="19"/>
      <c r="CY31" s="14"/>
      <c r="CZ31" s="16"/>
      <c r="DA31" s="18">
        <f t="shared" si="21"/>
        <v>0</v>
      </c>
      <c r="DB31" s="16"/>
      <c r="DC31" s="19"/>
      <c r="DD31" s="14"/>
      <c r="DE31" s="16"/>
      <c r="DF31" s="18">
        <f t="shared" si="22"/>
        <v>0</v>
      </c>
      <c r="DG31" s="16"/>
      <c r="DH31" s="19"/>
      <c r="DI31" s="14"/>
      <c r="DJ31" s="16"/>
      <c r="DK31" s="18">
        <f t="shared" si="23"/>
        <v>0</v>
      </c>
      <c r="DL31" s="16"/>
      <c r="DM31" s="19"/>
      <c r="DN31" s="14"/>
      <c r="DO31" s="16"/>
      <c r="DP31" s="18">
        <f t="shared" si="24"/>
        <v>0</v>
      </c>
      <c r="DQ31" s="16"/>
      <c r="DR31" s="19"/>
      <c r="DS31" s="14"/>
      <c r="DT31" s="16"/>
      <c r="DU31" s="18">
        <f t="shared" si="25"/>
        <v>0</v>
      </c>
      <c r="DV31" s="16"/>
      <c r="DW31" s="19"/>
      <c r="DX31" s="14"/>
      <c r="DY31" s="16"/>
      <c r="DZ31" s="18">
        <f t="shared" si="26"/>
        <v>0</v>
      </c>
      <c r="EA31" s="16"/>
      <c r="EB31" s="19"/>
      <c r="EC31" s="16">
        <f t="shared" si="27"/>
        <v>0</v>
      </c>
      <c r="ED31" s="14"/>
      <c r="EE31" s="16"/>
      <c r="EF31" s="18">
        <f t="shared" si="28"/>
        <v>0</v>
      </c>
      <c r="EG31" s="16"/>
      <c r="EH31" s="19"/>
      <c r="EI31" s="14"/>
      <c r="EJ31" s="16"/>
      <c r="EK31" s="18">
        <f t="shared" si="29"/>
        <v>0</v>
      </c>
      <c r="EL31" s="16"/>
      <c r="EM31" s="19"/>
      <c r="EN31" s="14"/>
      <c r="EO31" s="16"/>
      <c r="EP31" s="18">
        <f t="shared" si="30"/>
        <v>0</v>
      </c>
      <c r="EQ31" s="16"/>
      <c r="ER31" s="19"/>
      <c r="ES31" s="14"/>
      <c r="ET31" s="16"/>
      <c r="EU31" s="18">
        <f t="shared" si="31"/>
        <v>0</v>
      </c>
      <c r="EV31" s="16"/>
      <c r="EW31" s="19"/>
      <c r="EX31" s="14"/>
      <c r="EY31" s="16"/>
      <c r="EZ31" s="18">
        <f t="shared" si="32"/>
        <v>0</v>
      </c>
      <c r="FA31" s="16"/>
      <c r="FB31" s="19"/>
      <c r="FC31" s="14"/>
      <c r="FD31" s="16"/>
      <c r="FE31" s="18">
        <f t="shared" si="33"/>
        <v>0</v>
      </c>
      <c r="FF31" s="16"/>
      <c r="FG31" s="19"/>
      <c r="FH31" s="14"/>
      <c r="FI31" s="16"/>
      <c r="FJ31" s="18">
        <f t="shared" si="34"/>
        <v>0</v>
      </c>
      <c r="FK31" s="16"/>
      <c r="FL31" s="19"/>
      <c r="FM31" s="14"/>
      <c r="FN31" s="16"/>
      <c r="FO31" s="18">
        <f t="shared" si="35"/>
        <v>0</v>
      </c>
      <c r="FP31" s="16"/>
      <c r="FQ31" s="19"/>
      <c r="FR31" s="14"/>
      <c r="FS31" s="16"/>
      <c r="FT31" s="18">
        <f t="shared" si="36"/>
        <v>0</v>
      </c>
      <c r="FU31" s="16"/>
      <c r="FV31" s="19"/>
      <c r="FW31" s="14"/>
      <c r="FX31" s="16"/>
      <c r="FY31" s="18">
        <f t="shared" si="37"/>
        <v>0</v>
      </c>
      <c r="FZ31" s="16"/>
      <c r="GA31" s="19"/>
      <c r="GB31" s="14"/>
      <c r="GC31" s="16"/>
      <c r="GD31" s="18">
        <f t="shared" si="38"/>
        <v>0</v>
      </c>
      <c r="GE31" s="16"/>
      <c r="GF31" s="19"/>
      <c r="GG31" s="14"/>
      <c r="GH31" s="16"/>
      <c r="GI31" s="18">
        <f t="shared" si="39"/>
        <v>0</v>
      </c>
      <c r="GJ31" s="16"/>
      <c r="GK31" s="19"/>
    </row>
    <row r="32" spans="1:193">
      <c r="A32" s="12">
        <v>29</v>
      </c>
      <c r="B32" s="13">
        <f>[1]项目立项!C52</f>
        <v>0</v>
      </c>
      <c r="C32" s="13">
        <f>[1]项目立项!D52</f>
        <v>0</v>
      </c>
      <c r="D32" s="13">
        <f>[1]项目立项!E52</f>
        <v>0</v>
      </c>
      <c r="E32" s="13">
        <f>[1]项目立项!F52</f>
        <v>0</v>
      </c>
      <c r="F32" s="14"/>
      <c r="G32" s="15">
        <f t="shared" si="0"/>
        <v>0</v>
      </c>
      <c r="H32" s="16"/>
      <c r="I32" s="17"/>
      <c r="J32" s="16"/>
      <c r="K32" s="16">
        <f t="shared" si="1"/>
        <v>0</v>
      </c>
      <c r="L32" s="14"/>
      <c r="M32" s="16"/>
      <c r="N32" s="18">
        <f t="shared" si="2"/>
        <v>0</v>
      </c>
      <c r="O32" s="16"/>
      <c r="P32" s="19"/>
      <c r="Q32" s="14"/>
      <c r="R32" s="16"/>
      <c r="S32" s="18">
        <f t="shared" si="3"/>
        <v>0</v>
      </c>
      <c r="T32" s="16"/>
      <c r="U32" s="19"/>
      <c r="V32" s="14"/>
      <c r="W32" s="16"/>
      <c r="X32" s="18">
        <f t="shared" si="4"/>
        <v>0</v>
      </c>
      <c r="Y32" s="16"/>
      <c r="Z32" s="19"/>
      <c r="AA32" s="14"/>
      <c r="AB32" s="16"/>
      <c r="AC32" s="18">
        <f t="shared" si="5"/>
        <v>0</v>
      </c>
      <c r="AD32" s="16"/>
      <c r="AE32" s="19"/>
      <c r="AF32" s="14"/>
      <c r="AG32" s="16"/>
      <c r="AH32" s="18">
        <f t="shared" si="6"/>
        <v>0</v>
      </c>
      <c r="AI32" s="16"/>
      <c r="AJ32" s="19"/>
      <c r="AK32" s="14"/>
      <c r="AL32" s="16"/>
      <c r="AM32" s="18">
        <f t="shared" si="7"/>
        <v>0</v>
      </c>
      <c r="AN32" s="16"/>
      <c r="AO32" s="19"/>
      <c r="AP32" s="14"/>
      <c r="AQ32" s="16"/>
      <c r="AR32" s="18">
        <f t="shared" si="8"/>
        <v>0</v>
      </c>
      <c r="AS32" s="16"/>
      <c r="AT32" s="19"/>
      <c r="AU32" s="14"/>
      <c r="AV32" s="16"/>
      <c r="AW32" s="18">
        <f t="shared" si="9"/>
        <v>0</v>
      </c>
      <c r="AX32" s="16"/>
      <c r="AY32" s="19"/>
      <c r="AZ32" s="14"/>
      <c r="BA32" s="16"/>
      <c r="BB32" s="18">
        <f t="shared" si="10"/>
        <v>0</v>
      </c>
      <c r="BC32" s="16"/>
      <c r="BD32" s="19"/>
      <c r="BE32" s="14"/>
      <c r="BF32" s="16"/>
      <c r="BG32" s="18">
        <f t="shared" si="11"/>
        <v>0</v>
      </c>
      <c r="BH32" s="16"/>
      <c r="BI32" s="19"/>
      <c r="BJ32" s="14"/>
      <c r="BK32" s="16"/>
      <c r="BL32" s="18">
        <f t="shared" si="12"/>
        <v>0</v>
      </c>
      <c r="BM32" s="16"/>
      <c r="BN32" s="19"/>
      <c r="BO32" s="14"/>
      <c r="BP32" s="16"/>
      <c r="BQ32" s="18">
        <f t="shared" si="13"/>
        <v>0</v>
      </c>
      <c r="BR32" s="16"/>
      <c r="BS32" s="19"/>
      <c r="BT32" s="16">
        <f t="shared" si="14"/>
        <v>0</v>
      </c>
      <c r="BU32" s="14"/>
      <c r="BV32" s="16"/>
      <c r="BW32" s="18">
        <f t="shared" si="15"/>
        <v>0</v>
      </c>
      <c r="BX32" s="16"/>
      <c r="BY32" s="19"/>
      <c r="BZ32" s="14"/>
      <c r="CA32" s="16"/>
      <c r="CB32" s="18">
        <f t="shared" si="16"/>
        <v>0</v>
      </c>
      <c r="CC32" s="16"/>
      <c r="CD32" s="19"/>
      <c r="CE32" s="14"/>
      <c r="CF32" s="16"/>
      <c r="CG32" s="18">
        <f t="shared" si="17"/>
        <v>0</v>
      </c>
      <c r="CH32" s="16"/>
      <c r="CI32" s="19"/>
      <c r="CJ32" s="14"/>
      <c r="CK32" s="16"/>
      <c r="CL32" s="18">
        <f t="shared" si="18"/>
        <v>0</v>
      </c>
      <c r="CM32" s="16"/>
      <c r="CN32" s="19"/>
      <c r="CO32" s="14"/>
      <c r="CP32" s="16"/>
      <c r="CQ32" s="18">
        <f t="shared" si="19"/>
        <v>0</v>
      </c>
      <c r="CR32" s="16"/>
      <c r="CS32" s="19"/>
      <c r="CT32" s="14"/>
      <c r="CU32" s="16"/>
      <c r="CV32" s="18">
        <f t="shared" si="20"/>
        <v>0</v>
      </c>
      <c r="CW32" s="16"/>
      <c r="CX32" s="19"/>
      <c r="CY32" s="14"/>
      <c r="CZ32" s="16"/>
      <c r="DA32" s="18">
        <f t="shared" si="21"/>
        <v>0</v>
      </c>
      <c r="DB32" s="16"/>
      <c r="DC32" s="19"/>
      <c r="DD32" s="14"/>
      <c r="DE32" s="16"/>
      <c r="DF32" s="18">
        <f t="shared" si="22"/>
        <v>0</v>
      </c>
      <c r="DG32" s="16"/>
      <c r="DH32" s="19"/>
      <c r="DI32" s="14"/>
      <c r="DJ32" s="16"/>
      <c r="DK32" s="18">
        <f t="shared" si="23"/>
        <v>0</v>
      </c>
      <c r="DL32" s="16"/>
      <c r="DM32" s="19"/>
      <c r="DN32" s="14"/>
      <c r="DO32" s="16"/>
      <c r="DP32" s="18">
        <f t="shared" si="24"/>
        <v>0</v>
      </c>
      <c r="DQ32" s="16"/>
      <c r="DR32" s="19"/>
      <c r="DS32" s="14"/>
      <c r="DT32" s="16"/>
      <c r="DU32" s="18">
        <f t="shared" si="25"/>
        <v>0</v>
      </c>
      <c r="DV32" s="16"/>
      <c r="DW32" s="19"/>
      <c r="DX32" s="14"/>
      <c r="DY32" s="16"/>
      <c r="DZ32" s="18">
        <f t="shared" si="26"/>
        <v>0</v>
      </c>
      <c r="EA32" s="16"/>
      <c r="EB32" s="19"/>
      <c r="EC32" s="16">
        <f t="shared" si="27"/>
        <v>0</v>
      </c>
      <c r="ED32" s="14"/>
      <c r="EE32" s="16"/>
      <c r="EF32" s="18">
        <f t="shared" si="28"/>
        <v>0</v>
      </c>
      <c r="EG32" s="16"/>
      <c r="EH32" s="19"/>
      <c r="EI32" s="14"/>
      <c r="EJ32" s="16"/>
      <c r="EK32" s="18">
        <f t="shared" si="29"/>
        <v>0</v>
      </c>
      <c r="EL32" s="16"/>
      <c r="EM32" s="19"/>
      <c r="EN32" s="14"/>
      <c r="EO32" s="16"/>
      <c r="EP32" s="18">
        <f t="shared" si="30"/>
        <v>0</v>
      </c>
      <c r="EQ32" s="16"/>
      <c r="ER32" s="19"/>
      <c r="ES32" s="14"/>
      <c r="ET32" s="16"/>
      <c r="EU32" s="18">
        <f t="shared" si="31"/>
        <v>0</v>
      </c>
      <c r="EV32" s="16"/>
      <c r="EW32" s="19"/>
      <c r="EX32" s="14"/>
      <c r="EY32" s="16"/>
      <c r="EZ32" s="18">
        <f t="shared" si="32"/>
        <v>0</v>
      </c>
      <c r="FA32" s="16"/>
      <c r="FB32" s="19"/>
      <c r="FC32" s="14"/>
      <c r="FD32" s="16"/>
      <c r="FE32" s="18">
        <f t="shared" si="33"/>
        <v>0</v>
      </c>
      <c r="FF32" s="16"/>
      <c r="FG32" s="19"/>
      <c r="FH32" s="14"/>
      <c r="FI32" s="16"/>
      <c r="FJ32" s="18">
        <f t="shared" si="34"/>
        <v>0</v>
      </c>
      <c r="FK32" s="16"/>
      <c r="FL32" s="19"/>
      <c r="FM32" s="14"/>
      <c r="FN32" s="16"/>
      <c r="FO32" s="18">
        <f t="shared" si="35"/>
        <v>0</v>
      </c>
      <c r="FP32" s="16"/>
      <c r="FQ32" s="19"/>
      <c r="FR32" s="14"/>
      <c r="FS32" s="16"/>
      <c r="FT32" s="18">
        <f t="shared" si="36"/>
        <v>0</v>
      </c>
      <c r="FU32" s="16"/>
      <c r="FV32" s="19"/>
      <c r="FW32" s="14"/>
      <c r="FX32" s="16"/>
      <c r="FY32" s="18">
        <f t="shared" si="37"/>
        <v>0</v>
      </c>
      <c r="FZ32" s="16"/>
      <c r="GA32" s="19"/>
      <c r="GB32" s="14"/>
      <c r="GC32" s="16"/>
      <c r="GD32" s="18">
        <f t="shared" si="38"/>
        <v>0</v>
      </c>
      <c r="GE32" s="16"/>
      <c r="GF32" s="19"/>
      <c r="GG32" s="14"/>
      <c r="GH32" s="16"/>
      <c r="GI32" s="18">
        <f t="shared" si="39"/>
        <v>0</v>
      </c>
      <c r="GJ32" s="16"/>
      <c r="GK32" s="19"/>
    </row>
    <row r="33" spans="1:193">
      <c r="A33" s="12">
        <v>30</v>
      </c>
      <c r="B33" s="13">
        <f>[1]项目立项!C53</f>
        <v>0</v>
      </c>
      <c r="C33" s="13">
        <f>[1]项目立项!D53</f>
        <v>0</v>
      </c>
      <c r="D33" s="13">
        <f>[1]项目立项!E53</f>
        <v>0</v>
      </c>
      <c r="E33" s="13">
        <f>[1]项目立项!F53</f>
        <v>0</v>
      </c>
      <c r="F33" s="14"/>
      <c r="G33" s="15">
        <f t="shared" si="0"/>
        <v>0</v>
      </c>
      <c r="H33" s="16"/>
      <c r="I33" s="17"/>
      <c r="J33" s="16"/>
      <c r="K33" s="16">
        <f t="shared" si="1"/>
        <v>0</v>
      </c>
      <c r="L33" s="14"/>
      <c r="M33" s="16"/>
      <c r="N33" s="18">
        <f t="shared" si="2"/>
        <v>0</v>
      </c>
      <c r="O33" s="16"/>
      <c r="P33" s="19"/>
      <c r="Q33" s="14"/>
      <c r="R33" s="16"/>
      <c r="S33" s="18">
        <f t="shared" si="3"/>
        <v>0</v>
      </c>
      <c r="T33" s="16"/>
      <c r="U33" s="19"/>
      <c r="V33" s="14"/>
      <c r="W33" s="16"/>
      <c r="X33" s="18">
        <f t="shared" si="4"/>
        <v>0</v>
      </c>
      <c r="Y33" s="16"/>
      <c r="Z33" s="19"/>
      <c r="AA33" s="14"/>
      <c r="AB33" s="16"/>
      <c r="AC33" s="18">
        <f t="shared" si="5"/>
        <v>0</v>
      </c>
      <c r="AD33" s="16"/>
      <c r="AE33" s="19"/>
      <c r="AF33" s="14"/>
      <c r="AG33" s="16"/>
      <c r="AH33" s="18">
        <f t="shared" si="6"/>
        <v>0</v>
      </c>
      <c r="AI33" s="16"/>
      <c r="AJ33" s="19"/>
      <c r="AK33" s="14"/>
      <c r="AL33" s="16"/>
      <c r="AM33" s="18">
        <f t="shared" si="7"/>
        <v>0</v>
      </c>
      <c r="AN33" s="16"/>
      <c r="AO33" s="19"/>
      <c r="AP33" s="14"/>
      <c r="AQ33" s="16"/>
      <c r="AR33" s="18">
        <f t="shared" si="8"/>
        <v>0</v>
      </c>
      <c r="AS33" s="16"/>
      <c r="AT33" s="19"/>
      <c r="AU33" s="14"/>
      <c r="AV33" s="16"/>
      <c r="AW33" s="18">
        <f t="shared" si="9"/>
        <v>0</v>
      </c>
      <c r="AX33" s="16"/>
      <c r="AY33" s="19"/>
      <c r="AZ33" s="14"/>
      <c r="BA33" s="16"/>
      <c r="BB33" s="18">
        <f t="shared" si="10"/>
        <v>0</v>
      </c>
      <c r="BC33" s="16"/>
      <c r="BD33" s="19"/>
      <c r="BE33" s="14"/>
      <c r="BF33" s="16"/>
      <c r="BG33" s="18">
        <f t="shared" si="11"/>
        <v>0</v>
      </c>
      <c r="BH33" s="16"/>
      <c r="BI33" s="19"/>
      <c r="BJ33" s="14"/>
      <c r="BK33" s="16"/>
      <c r="BL33" s="18">
        <f t="shared" si="12"/>
        <v>0</v>
      </c>
      <c r="BM33" s="16"/>
      <c r="BN33" s="19"/>
      <c r="BO33" s="14"/>
      <c r="BP33" s="16"/>
      <c r="BQ33" s="18">
        <f t="shared" si="13"/>
        <v>0</v>
      </c>
      <c r="BR33" s="16"/>
      <c r="BS33" s="19"/>
      <c r="BT33" s="16">
        <f t="shared" si="14"/>
        <v>0</v>
      </c>
      <c r="BU33" s="14"/>
      <c r="BV33" s="16"/>
      <c r="BW33" s="18">
        <f t="shared" si="15"/>
        <v>0</v>
      </c>
      <c r="BX33" s="16"/>
      <c r="BY33" s="19"/>
      <c r="BZ33" s="14"/>
      <c r="CA33" s="16"/>
      <c r="CB33" s="18">
        <f t="shared" si="16"/>
        <v>0</v>
      </c>
      <c r="CC33" s="16"/>
      <c r="CD33" s="19"/>
      <c r="CE33" s="14"/>
      <c r="CF33" s="16"/>
      <c r="CG33" s="18">
        <f t="shared" si="17"/>
        <v>0</v>
      </c>
      <c r="CH33" s="16"/>
      <c r="CI33" s="19"/>
      <c r="CJ33" s="14"/>
      <c r="CK33" s="16"/>
      <c r="CL33" s="18">
        <f t="shared" si="18"/>
        <v>0</v>
      </c>
      <c r="CM33" s="16"/>
      <c r="CN33" s="19"/>
      <c r="CO33" s="14"/>
      <c r="CP33" s="16"/>
      <c r="CQ33" s="18">
        <f t="shared" si="19"/>
        <v>0</v>
      </c>
      <c r="CR33" s="16"/>
      <c r="CS33" s="19"/>
      <c r="CT33" s="14"/>
      <c r="CU33" s="16"/>
      <c r="CV33" s="18">
        <f t="shared" si="20"/>
        <v>0</v>
      </c>
      <c r="CW33" s="16"/>
      <c r="CX33" s="19"/>
      <c r="CY33" s="14"/>
      <c r="CZ33" s="16"/>
      <c r="DA33" s="18">
        <f t="shared" si="21"/>
        <v>0</v>
      </c>
      <c r="DB33" s="16"/>
      <c r="DC33" s="19"/>
      <c r="DD33" s="14"/>
      <c r="DE33" s="16"/>
      <c r="DF33" s="18">
        <f t="shared" si="22"/>
        <v>0</v>
      </c>
      <c r="DG33" s="16"/>
      <c r="DH33" s="19"/>
      <c r="DI33" s="14"/>
      <c r="DJ33" s="16"/>
      <c r="DK33" s="18">
        <f t="shared" si="23"/>
        <v>0</v>
      </c>
      <c r="DL33" s="16"/>
      <c r="DM33" s="19"/>
      <c r="DN33" s="14"/>
      <c r="DO33" s="16"/>
      <c r="DP33" s="18">
        <f t="shared" si="24"/>
        <v>0</v>
      </c>
      <c r="DQ33" s="16"/>
      <c r="DR33" s="19"/>
      <c r="DS33" s="14"/>
      <c r="DT33" s="16"/>
      <c r="DU33" s="18">
        <f t="shared" si="25"/>
        <v>0</v>
      </c>
      <c r="DV33" s="16"/>
      <c r="DW33" s="19"/>
      <c r="DX33" s="14"/>
      <c r="DY33" s="16"/>
      <c r="DZ33" s="18">
        <f t="shared" si="26"/>
        <v>0</v>
      </c>
      <c r="EA33" s="16"/>
      <c r="EB33" s="19"/>
      <c r="EC33" s="16">
        <f t="shared" si="27"/>
        <v>0</v>
      </c>
      <c r="ED33" s="14"/>
      <c r="EE33" s="16"/>
      <c r="EF33" s="18">
        <f t="shared" si="28"/>
        <v>0</v>
      </c>
      <c r="EG33" s="16"/>
      <c r="EH33" s="19"/>
      <c r="EI33" s="14"/>
      <c r="EJ33" s="16"/>
      <c r="EK33" s="18">
        <f t="shared" si="29"/>
        <v>0</v>
      </c>
      <c r="EL33" s="16"/>
      <c r="EM33" s="19"/>
      <c r="EN33" s="14"/>
      <c r="EO33" s="16"/>
      <c r="EP33" s="18">
        <f t="shared" si="30"/>
        <v>0</v>
      </c>
      <c r="EQ33" s="16"/>
      <c r="ER33" s="19"/>
      <c r="ES33" s="14"/>
      <c r="ET33" s="16"/>
      <c r="EU33" s="18">
        <f t="shared" si="31"/>
        <v>0</v>
      </c>
      <c r="EV33" s="16"/>
      <c r="EW33" s="19"/>
      <c r="EX33" s="14"/>
      <c r="EY33" s="16"/>
      <c r="EZ33" s="18">
        <f t="shared" si="32"/>
        <v>0</v>
      </c>
      <c r="FA33" s="16"/>
      <c r="FB33" s="19"/>
      <c r="FC33" s="14"/>
      <c r="FD33" s="16"/>
      <c r="FE33" s="18">
        <f t="shared" si="33"/>
        <v>0</v>
      </c>
      <c r="FF33" s="16"/>
      <c r="FG33" s="19"/>
      <c r="FH33" s="14"/>
      <c r="FI33" s="16"/>
      <c r="FJ33" s="18">
        <f t="shared" si="34"/>
        <v>0</v>
      </c>
      <c r="FK33" s="16"/>
      <c r="FL33" s="19"/>
      <c r="FM33" s="14"/>
      <c r="FN33" s="16"/>
      <c r="FO33" s="18">
        <f t="shared" si="35"/>
        <v>0</v>
      </c>
      <c r="FP33" s="16"/>
      <c r="FQ33" s="19"/>
      <c r="FR33" s="14"/>
      <c r="FS33" s="16"/>
      <c r="FT33" s="18">
        <f t="shared" si="36"/>
        <v>0</v>
      </c>
      <c r="FU33" s="16"/>
      <c r="FV33" s="19"/>
      <c r="FW33" s="14"/>
      <c r="FX33" s="16"/>
      <c r="FY33" s="18">
        <f t="shared" si="37"/>
        <v>0</v>
      </c>
      <c r="FZ33" s="16"/>
      <c r="GA33" s="19"/>
      <c r="GB33" s="14"/>
      <c r="GC33" s="16"/>
      <c r="GD33" s="18">
        <f t="shared" si="38"/>
        <v>0</v>
      </c>
      <c r="GE33" s="16"/>
      <c r="GF33" s="19"/>
      <c r="GG33" s="14"/>
      <c r="GH33" s="16"/>
      <c r="GI33" s="18">
        <f t="shared" si="39"/>
        <v>0</v>
      </c>
      <c r="GJ33" s="16"/>
      <c r="GK33" s="19"/>
    </row>
    <row r="34" spans="1:193">
      <c r="A34" s="12">
        <v>31</v>
      </c>
      <c r="B34" s="13">
        <f>[1]项目立项!C54</f>
        <v>0</v>
      </c>
      <c r="C34" s="13">
        <f>[1]项目立项!D54</f>
        <v>0</v>
      </c>
      <c r="D34" s="13">
        <f>[1]项目立项!E54</f>
        <v>0</v>
      </c>
      <c r="E34" s="13">
        <f>[1]项目立项!F54</f>
        <v>0</v>
      </c>
      <c r="F34" s="14"/>
      <c r="G34" s="15">
        <f t="shared" si="0"/>
        <v>0</v>
      </c>
      <c r="H34" s="16"/>
      <c r="I34" s="17"/>
      <c r="J34" s="16"/>
      <c r="K34" s="16">
        <f t="shared" si="1"/>
        <v>0</v>
      </c>
      <c r="L34" s="14"/>
      <c r="M34" s="16"/>
      <c r="N34" s="18">
        <f t="shared" si="2"/>
        <v>0</v>
      </c>
      <c r="O34" s="16"/>
      <c r="P34" s="19"/>
      <c r="Q34" s="14"/>
      <c r="R34" s="16"/>
      <c r="S34" s="18">
        <f t="shared" si="3"/>
        <v>0</v>
      </c>
      <c r="T34" s="16"/>
      <c r="U34" s="19"/>
      <c r="V34" s="14"/>
      <c r="W34" s="16"/>
      <c r="X34" s="18">
        <f t="shared" si="4"/>
        <v>0</v>
      </c>
      <c r="Y34" s="16"/>
      <c r="Z34" s="19"/>
      <c r="AA34" s="14"/>
      <c r="AB34" s="16"/>
      <c r="AC34" s="18">
        <f t="shared" si="5"/>
        <v>0</v>
      </c>
      <c r="AD34" s="16"/>
      <c r="AE34" s="19"/>
      <c r="AF34" s="14"/>
      <c r="AG34" s="16"/>
      <c r="AH34" s="18">
        <f t="shared" si="6"/>
        <v>0</v>
      </c>
      <c r="AI34" s="16"/>
      <c r="AJ34" s="19"/>
      <c r="AK34" s="14"/>
      <c r="AL34" s="16"/>
      <c r="AM34" s="18">
        <f t="shared" si="7"/>
        <v>0</v>
      </c>
      <c r="AN34" s="16"/>
      <c r="AO34" s="19"/>
      <c r="AP34" s="14"/>
      <c r="AQ34" s="16"/>
      <c r="AR34" s="18">
        <f t="shared" si="8"/>
        <v>0</v>
      </c>
      <c r="AS34" s="16"/>
      <c r="AT34" s="19"/>
      <c r="AU34" s="14"/>
      <c r="AV34" s="16"/>
      <c r="AW34" s="18">
        <f t="shared" si="9"/>
        <v>0</v>
      </c>
      <c r="AX34" s="16"/>
      <c r="AY34" s="19"/>
      <c r="AZ34" s="14"/>
      <c r="BA34" s="16"/>
      <c r="BB34" s="18">
        <f t="shared" si="10"/>
        <v>0</v>
      </c>
      <c r="BC34" s="16"/>
      <c r="BD34" s="19"/>
      <c r="BE34" s="14"/>
      <c r="BF34" s="16"/>
      <c r="BG34" s="18">
        <f t="shared" si="11"/>
        <v>0</v>
      </c>
      <c r="BH34" s="16"/>
      <c r="BI34" s="19"/>
      <c r="BJ34" s="14"/>
      <c r="BK34" s="16"/>
      <c r="BL34" s="18">
        <f t="shared" si="12"/>
        <v>0</v>
      </c>
      <c r="BM34" s="16"/>
      <c r="BN34" s="19"/>
      <c r="BO34" s="14"/>
      <c r="BP34" s="16"/>
      <c r="BQ34" s="18">
        <f t="shared" si="13"/>
        <v>0</v>
      </c>
      <c r="BR34" s="16"/>
      <c r="BS34" s="19"/>
      <c r="BT34" s="16">
        <f t="shared" si="14"/>
        <v>0</v>
      </c>
      <c r="BU34" s="14"/>
      <c r="BV34" s="16"/>
      <c r="BW34" s="18">
        <f t="shared" si="15"/>
        <v>0</v>
      </c>
      <c r="BX34" s="16"/>
      <c r="BY34" s="19"/>
      <c r="BZ34" s="14"/>
      <c r="CA34" s="16"/>
      <c r="CB34" s="18">
        <f t="shared" si="16"/>
        <v>0</v>
      </c>
      <c r="CC34" s="16"/>
      <c r="CD34" s="19"/>
      <c r="CE34" s="14"/>
      <c r="CF34" s="16"/>
      <c r="CG34" s="18">
        <f t="shared" si="17"/>
        <v>0</v>
      </c>
      <c r="CH34" s="16"/>
      <c r="CI34" s="19"/>
      <c r="CJ34" s="14"/>
      <c r="CK34" s="16"/>
      <c r="CL34" s="18">
        <f t="shared" si="18"/>
        <v>0</v>
      </c>
      <c r="CM34" s="16"/>
      <c r="CN34" s="19"/>
      <c r="CO34" s="14"/>
      <c r="CP34" s="16"/>
      <c r="CQ34" s="18">
        <f t="shared" si="19"/>
        <v>0</v>
      </c>
      <c r="CR34" s="16"/>
      <c r="CS34" s="19"/>
      <c r="CT34" s="14"/>
      <c r="CU34" s="16"/>
      <c r="CV34" s="18">
        <f t="shared" si="20"/>
        <v>0</v>
      </c>
      <c r="CW34" s="16"/>
      <c r="CX34" s="19"/>
      <c r="CY34" s="14"/>
      <c r="CZ34" s="16"/>
      <c r="DA34" s="18">
        <f t="shared" si="21"/>
        <v>0</v>
      </c>
      <c r="DB34" s="16"/>
      <c r="DC34" s="19"/>
      <c r="DD34" s="14"/>
      <c r="DE34" s="16"/>
      <c r="DF34" s="18">
        <f t="shared" si="22"/>
        <v>0</v>
      </c>
      <c r="DG34" s="16"/>
      <c r="DH34" s="19"/>
      <c r="DI34" s="14"/>
      <c r="DJ34" s="16"/>
      <c r="DK34" s="18">
        <f t="shared" si="23"/>
        <v>0</v>
      </c>
      <c r="DL34" s="16"/>
      <c r="DM34" s="19"/>
      <c r="DN34" s="14"/>
      <c r="DO34" s="16"/>
      <c r="DP34" s="18">
        <f t="shared" si="24"/>
        <v>0</v>
      </c>
      <c r="DQ34" s="16"/>
      <c r="DR34" s="19"/>
      <c r="DS34" s="14"/>
      <c r="DT34" s="16"/>
      <c r="DU34" s="18">
        <f t="shared" si="25"/>
        <v>0</v>
      </c>
      <c r="DV34" s="16"/>
      <c r="DW34" s="19"/>
      <c r="DX34" s="14"/>
      <c r="DY34" s="16"/>
      <c r="DZ34" s="18">
        <f t="shared" si="26"/>
        <v>0</v>
      </c>
      <c r="EA34" s="16"/>
      <c r="EB34" s="19"/>
      <c r="EC34" s="16">
        <f t="shared" si="27"/>
        <v>0</v>
      </c>
      <c r="ED34" s="14"/>
      <c r="EE34" s="16"/>
      <c r="EF34" s="18">
        <f t="shared" si="28"/>
        <v>0</v>
      </c>
      <c r="EG34" s="16"/>
      <c r="EH34" s="19"/>
      <c r="EI34" s="14"/>
      <c r="EJ34" s="16"/>
      <c r="EK34" s="18">
        <f t="shared" si="29"/>
        <v>0</v>
      </c>
      <c r="EL34" s="16"/>
      <c r="EM34" s="19"/>
      <c r="EN34" s="14"/>
      <c r="EO34" s="16"/>
      <c r="EP34" s="18">
        <f t="shared" si="30"/>
        <v>0</v>
      </c>
      <c r="EQ34" s="16"/>
      <c r="ER34" s="19"/>
      <c r="ES34" s="14"/>
      <c r="ET34" s="16"/>
      <c r="EU34" s="18">
        <f t="shared" si="31"/>
        <v>0</v>
      </c>
      <c r="EV34" s="16"/>
      <c r="EW34" s="19"/>
      <c r="EX34" s="14"/>
      <c r="EY34" s="16"/>
      <c r="EZ34" s="18">
        <f t="shared" si="32"/>
        <v>0</v>
      </c>
      <c r="FA34" s="16"/>
      <c r="FB34" s="19"/>
      <c r="FC34" s="14"/>
      <c r="FD34" s="16"/>
      <c r="FE34" s="18">
        <f t="shared" si="33"/>
        <v>0</v>
      </c>
      <c r="FF34" s="16"/>
      <c r="FG34" s="19"/>
      <c r="FH34" s="14"/>
      <c r="FI34" s="16"/>
      <c r="FJ34" s="18">
        <f t="shared" si="34"/>
        <v>0</v>
      </c>
      <c r="FK34" s="16"/>
      <c r="FL34" s="19"/>
      <c r="FM34" s="14"/>
      <c r="FN34" s="16"/>
      <c r="FO34" s="18">
        <f t="shared" si="35"/>
        <v>0</v>
      </c>
      <c r="FP34" s="16"/>
      <c r="FQ34" s="19"/>
      <c r="FR34" s="14"/>
      <c r="FS34" s="16"/>
      <c r="FT34" s="18">
        <f t="shared" si="36"/>
        <v>0</v>
      </c>
      <c r="FU34" s="16"/>
      <c r="FV34" s="19"/>
      <c r="FW34" s="14"/>
      <c r="FX34" s="16"/>
      <c r="FY34" s="18">
        <f t="shared" si="37"/>
        <v>0</v>
      </c>
      <c r="FZ34" s="16"/>
      <c r="GA34" s="19"/>
      <c r="GB34" s="14"/>
      <c r="GC34" s="16"/>
      <c r="GD34" s="18">
        <f t="shared" si="38"/>
        <v>0</v>
      </c>
      <c r="GE34" s="16"/>
      <c r="GF34" s="19"/>
      <c r="GG34" s="14"/>
      <c r="GH34" s="16"/>
      <c r="GI34" s="18">
        <f t="shared" si="39"/>
        <v>0</v>
      </c>
      <c r="GJ34" s="16"/>
      <c r="GK34" s="19"/>
    </row>
    <row r="35" spans="1:193">
      <c r="A35" s="12">
        <v>32</v>
      </c>
      <c r="B35" s="13">
        <f>[1]项目立项!C55</f>
        <v>0</v>
      </c>
      <c r="C35" s="13">
        <f>[1]项目立项!D55</f>
        <v>0</v>
      </c>
      <c r="D35" s="13">
        <f>[1]项目立项!E55</f>
        <v>0</v>
      </c>
      <c r="E35" s="13">
        <f>[1]项目立项!F55</f>
        <v>0</v>
      </c>
      <c r="F35" s="14"/>
      <c r="G35" s="15">
        <f t="shared" si="0"/>
        <v>0</v>
      </c>
      <c r="H35" s="16"/>
      <c r="I35" s="17"/>
      <c r="J35" s="16"/>
      <c r="K35" s="16">
        <f t="shared" si="1"/>
        <v>0</v>
      </c>
      <c r="L35" s="14"/>
      <c r="M35" s="16"/>
      <c r="N35" s="18">
        <f t="shared" si="2"/>
        <v>0</v>
      </c>
      <c r="O35" s="16"/>
      <c r="P35" s="19"/>
      <c r="Q35" s="14"/>
      <c r="R35" s="16"/>
      <c r="S35" s="18">
        <f t="shared" si="3"/>
        <v>0</v>
      </c>
      <c r="T35" s="16"/>
      <c r="U35" s="19"/>
      <c r="V35" s="14"/>
      <c r="W35" s="16"/>
      <c r="X35" s="18">
        <f t="shared" si="4"/>
        <v>0</v>
      </c>
      <c r="Y35" s="16"/>
      <c r="Z35" s="19"/>
      <c r="AA35" s="14"/>
      <c r="AB35" s="16"/>
      <c r="AC35" s="18">
        <f t="shared" si="5"/>
        <v>0</v>
      </c>
      <c r="AD35" s="16"/>
      <c r="AE35" s="19"/>
      <c r="AF35" s="14"/>
      <c r="AG35" s="16"/>
      <c r="AH35" s="18">
        <f t="shared" si="6"/>
        <v>0</v>
      </c>
      <c r="AI35" s="16"/>
      <c r="AJ35" s="19"/>
      <c r="AK35" s="14"/>
      <c r="AL35" s="16"/>
      <c r="AM35" s="18">
        <f t="shared" si="7"/>
        <v>0</v>
      </c>
      <c r="AN35" s="16"/>
      <c r="AO35" s="19"/>
      <c r="AP35" s="14"/>
      <c r="AQ35" s="16"/>
      <c r="AR35" s="18">
        <f t="shared" si="8"/>
        <v>0</v>
      </c>
      <c r="AS35" s="16"/>
      <c r="AT35" s="19"/>
      <c r="AU35" s="14"/>
      <c r="AV35" s="16"/>
      <c r="AW35" s="18">
        <f t="shared" si="9"/>
        <v>0</v>
      </c>
      <c r="AX35" s="16"/>
      <c r="AY35" s="19"/>
      <c r="AZ35" s="14"/>
      <c r="BA35" s="16"/>
      <c r="BB35" s="18">
        <f t="shared" si="10"/>
        <v>0</v>
      </c>
      <c r="BC35" s="16"/>
      <c r="BD35" s="19"/>
      <c r="BE35" s="14"/>
      <c r="BF35" s="16"/>
      <c r="BG35" s="18">
        <f t="shared" si="11"/>
        <v>0</v>
      </c>
      <c r="BH35" s="16"/>
      <c r="BI35" s="19"/>
      <c r="BJ35" s="14"/>
      <c r="BK35" s="16"/>
      <c r="BL35" s="18">
        <f t="shared" si="12"/>
        <v>0</v>
      </c>
      <c r="BM35" s="16"/>
      <c r="BN35" s="19"/>
      <c r="BO35" s="14"/>
      <c r="BP35" s="16"/>
      <c r="BQ35" s="18">
        <f t="shared" si="13"/>
        <v>0</v>
      </c>
      <c r="BR35" s="16"/>
      <c r="BS35" s="19"/>
      <c r="BT35" s="16">
        <f t="shared" si="14"/>
        <v>0</v>
      </c>
      <c r="BU35" s="14"/>
      <c r="BV35" s="16"/>
      <c r="BW35" s="18">
        <f t="shared" si="15"/>
        <v>0</v>
      </c>
      <c r="BX35" s="16"/>
      <c r="BY35" s="19"/>
      <c r="BZ35" s="14"/>
      <c r="CA35" s="16"/>
      <c r="CB35" s="18">
        <f t="shared" si="16"/>
        <v>0</v>
      </c>
      <c r="CC35" s="16"/>
      <c r="CD35" s="19"/>
      <c r="CE35" s="14"/>
      <c r="CF35" s="16"/>
      <c r="CG35" s="18">
        <f t="shared" si="17"/>
        <v>0</v>
      </c>
      <c r="CH35" s="16"/>
      <c r="CI35" s="19"/>
      <c r="CJ35" s="14"/>
      <c r="CK35" s="16"/>
      <c r="CL35" s="18">
        <f t="shared" si="18"/>
        <v>0</v>
      </c>
      <c r="CM35" s="16"/>
      <c r="CN35" s="19"/>
      <c r="CO35" s="14"/>
      <c r="CP35" s="16"/>
      <c r="CQ35" s="18">
        <f t="shared" si="19"/>
        <v>0</v>
      </c>
      <c r="CR35" s="16"/>
      <c r="CS35" s="19"/>
      <c r="CT35" s="14"/>
      <c r="CU35" s="16"/>
      <c r="CV35" s="18">
        <f t="shared" si="20"/>
        <v>0</v>
      </c>
      <c r="CW35" s="16"/>
      <c r="CX35" s="19"/>
      <c r="CY35" s="14"/>
      <c r="CZ35" s="16"/>
      <c r="DA35" s="18">
        <f t="shared" si="21"/>
        <v>0</v>
      </c>
      <c r="DB35" s="16"/>
      <c r="DC35" s="19"/>
      <c r="DD35" s="14"/>
      <c r="DE35" s="16"/>
      <c r="DF35" s="18">
        <f t="shared" si="22"/>
        <v>0</v>
      </c>
      <c r="DG35" s="16"/>
      <c r="DH35" s="19"/>
      <c r="DI35" s="14"/>
      <c r="DJ35" s="16"/>
      <c r="DK35" s="18">
        <f t="shared" si="23"/>
        <v>0</v>
      </c>
      <c r="DL35" s="16"/>
      <c r="DM35" s="19"/>
      <c r="DN35" s="14"/>
      <c r="DO35" s="16"/>
      <c r="DP35" s="18">
        <f t="shared" si="24"/>
        <v>0</v>
      </c>
      <c r="DQ35" s="16"/>
      <c r="DR35" s="19"/>
      <c r="DS35" s="14"/>
      <c r="DT35" s="16"/>
      <c r="DU35" s="18">
        <f t="shared" si="25"/>
        <v>0</v>
      </c>
      <c r="DV35" s="16"/>
      <c r="DW35" s="19"/>
      <c r="DX35" s="14"/>
      <c r="DY35" s="16"/>
      <c r="DZ35" s="18">
        <f t="shared" si="26"/>
        <v>0</v>
      </c>
      <c r="EA35" s="16"/>
      <c r="EB35" s="19"/>
      <c r="EC35" s="16">
        <f t="shared" si="27"/>
        <v>0</v>
      </c>
      <c r="ED35" s="14"/>
      <c r="EE35" s="16"/>
      <c r="EF35" s="18">
        <f t="shared" si="28"/>
        <v>0</v>
      </c>
      <c r="EG35" s="16"/>
      <c r="EH35" s="19"/>
      <c r="EI35" s="14"/>
      <c r="EJ35" s="16"/>
      <c r="EK35" s="18">
        <f t="shared" si="29"/>
        <v>0</v>
      </c>
      <c r="EL35" s="16"/>
      <c r="EM35" s="19"/>
      <c r="EN35" s="14"/>
      <c r="EO35" s="16"/>
      <c r="EP35" s="18">
        <f t="shared" si="30"/>
        <v>0</v>
      </c>
      <c r="EQ35" s="16"/>
      <c r="ER35" s="19"/>
      <c r="ES35" s="14"/>
      <c r="ET35" s="16"/>
      <c r="EU35" s="18">
        <f t="shared" si="31"/>
        <v>0</v>
      </c>
      <c r="EV35" s="16"/>
      <c r="EW35" s="19"/>
      <c r="EX35" s="14"/>
      <c r="EY35" s="16"/>
      <c r="EZ35" s="18">
        <f t="shared" si="32"/>
        <v>0</v>
      </c>
      <c r="FA35" s="16"/>
      <c r="FB35" s="19"/>
      <c r="FC35" s="14"/>
      <c r="FD35" s="16"/>
      <c r="FE35" s="18">
        <f t="shared" si="33"/>
        <v>0</v>
      </c>
      <c r="FF35" s="16"/>
      <c r="FG35" s="19"/>
      <c r="FH35" s="14"/>
      <c r="FI35" s="16"/>
      <c r="FJ35" s="18">
        <f t="shared" si="34"/>
        <v>0</v>
      </c>
      <c r="FK35" s="16"/>
      <c r="FL35" s="19"/>
      <c r="FM35" s="14"/>
      <c r="FN35" s="16"/>
      <c r="FO35" s="18">
        <f t="shared" si="35"/>
        <v>0</v>
      </c>
      <c r="FP35" s="16"/>
      <c r="FQ35" s="19"/>
      <c r="FR35" s="14"/>
      <c r="FS35" s="16"/>
      <c r="FT35" s="18">
        <f t="shared" si="36"/>
        <v>0</v>
      </c>
      <c r="FU35" s="16"/>
      <c r="FV35" s="19"/>
      <c r="FW35" s="14"/>
      <c r="FX35" s="16"/>
      <c r="FY35" s="18">
        <f t="shared" si="37"/>
        <v>0</v>
      </c>
      <c r="FZ35" s="16"/>
      <c r="GA35" s="19"/>
      <c r="GB35" s="14"/>
      <c r="GC35" s="16"/>
      <c r="GD35" s="18">
        <f t="shared" si="38"/>
        <v>0</v>
      </c>
      <c r="GE35" s="16"/>
      <c r="GF35" s="19"/>
      <c r="GG35" s="14"/>
      <c r="GH35" s="16"/>
      <c r="GI35" s="18">
        <f t="shared" si="39"/>
        <v>0</v>
      </c>
      <c r="GJ35" s="16"/>
      <c r="GK35" s="19"/>
    </row>
    <row r="36" spans="1:193">
      <c r="A36" s="12">
        <v>33</v>
      </c>
      <c r="B36" s="13">
        <f>[1]项目立项!C56</f>
        <v>0</v>
      </c>
      <c r="C36" s="13">
        <f>[1]项目立项!D56</f>
        <v>0</v>
      </c>
      <c r="D36" s="13">
        <f>[1]项目立项!E56</f>
        <v>0</v>
      </c>
      <c r="E36" s="13">
        <f>[1]项目立项!F56</f>
        <v>0</v>
      </c>
      <c r="F36" s="14"/>
      <c r="G36" s="15">
        <f t="shared" si="0"/>
        <v>0</v>
      </c>
      <c r="H36" s="16"/>
      <c r="I36" s="17"/>
      <c r="J36" s="16"/>
      <c r="K36" s="16">
        <f t="shared" si="1"/>
        <v>0</v>
      </c>
      <c r="L36" s="14"/>
      <c r="M36" s="16"/>
      <c r="N36" s="18">
        <f t="shared" si="2"/>
        <v>0</v>
      </c>
      <c r="O36" s="16"/>
      <c r="P36" s="19"/>
      <c r="Q36" s="14"/>
      <c r="R36" s="16"/>
      <c r="S36" s="18">
        <f t="shared" si="3"/>
        <v>0</v>
      </c>
      <c r="T36" s="16"/>
      <c r="U36" s="19"/>
      <c r="V36" s="14"/>
      <c r="W36" s="16"/>
      <c r="X36" s="18">
        <f t="shared" si="4"/>
        <v>0</v>
      </c>
      <c r="Y36" s="16"/>
      <c r="Z36" s="19"/>
      <c r="AA36" s="14"/>
      <c r="AB36" s="16"/>
      <c r="AC36" s="18">
        <f t="shared" si="5"/>
        <v>0</v>
      </c>
      <c r="AD36" s="16"/>
      <c r="AE36" s="19"/>
      <c r="AF36" s="14"/>
      <c r="AG36" s="16"/>
      <c r="AH36" s="18">
        <f t="shared" si="6"/>
        <v>0</v>
      </c>
      <c r="AI36" s="16"/>
      <c r="AJ36" s="19"/>
      <c r="AK36" s="14"/>
      <c r="AL36" s="16"/>
      <c r="AM36" s="18">
        <f t="shared" si="7"/>
        <v>0</v>
      </c>
      <c r="AN36" s="16"/>
      <c r="AO36" s="19"/>
      <c r="AP36" s="14"/>
      <c r="AQ36" s="16"/>
      <c r="AR36" s="18">
        <f t="shared" si="8"/>
        <v>0</v>
      </c>
      <c r="AS36" s="16"/>
      <c r="AT36" s="19"/>
      <c r="AU36" s="14"/>
      <c r="AV36" s="16"/>
      <c r="AW36" s="18">
        <f t="shared" si="9"/>
        <v>0</v>
      </c>
      <c r="AX36" s="16"/>
      <c r="AY36" s="19"/>
      <c r="AZ36" s="14"/>
      <c r="BA36" s="16"/>
      <c r="BB36" s="18">
        <f t="shared" si="10"/>
        <v>0</v>
      </c>
      <c r="BC36" s="16"/>
      <c r="BD36" s="19"/>
      <c r="BE36" s="14"/>
      <c r="BF36" s="16"/>
      <c r="BG36" s="18">
        <f t="shared" si="11"/>
        <v>0</v>
      </c>
      <c r="BH36" s="16"/>
      <c r="BI36" s="19"/>
      <c r="BJ36" s="14"/>
      <c r="BK36" s="16"/>
      <c r="BL36" s="18">
        <f t="shared" si="12"/>
        <v>0</v>
      </c>
      <c r="BM36" s="16"/>
      <c r="BN36" s="19"/>
      <c r="BO36" s="14"/>
      <c r="BP36" s="16"/>
      <c r="BQ36" s="18">
        <f t="shared" si="13"/>
        <v>0</v>
      </c>
      <c r="BR36" s="16"/>
      <c r="BS36" s="19"/>
      <c r="BT36" s="16">
        <f t="shared" si="14"/>
        <v>0</v>
      </c>
      <c r="BU36" s="14"/>
      <c r="BV36" s="16"/>
      <c r="BW36" s="18">
        <f t="shared" si="15"/>
        <v>0</v>
      </c>
      <c r="BX36" s="16"/>
      <c r="BY36" s="19"/>
      <c r="BZ36" s="14"/>
      <c r="CA36" s="16"/>
      <c r="CB36" s="18">
        <f t="shared" si="16"/>
        <v>0</v>
      </c>
      <c r="CC36" s="16"/>
      <c r="CD36" s="19"/>
      <c r="CE36" s="14"/>
      <c r="CF36" s="16"/>
      <c r="CG36" s="18">
        <f t="shared" si="17"/>
        <v>0</v>
      </c>
      <c r="CH36" s="16"/>
      <c r="CI36" s="19"/>
      <c r="CJ36" s="14"/>
      <c r="CK36" s="16"/>
      <c r="CL36" s="18">
        <f t="shared" si="18"/>
        <v>0</v>
      </c>
      <c r="CM36" s="16"/>
      <c r="CN36" s="19"/>
      <c r="CO36" s="14"/>
      <c r="CP36" s="16"/>
      <c r="CQ36" s="18">
        <f t="shared" si="19"/>
        <v>0</v>
      </c>
      <c r="CR36" s="16"/>
      <c r="CS36" s="19"/>
      <c r="CT36" s="14"/>
      <c r="CU36" s="16"/>
      <c r="CV36" s="18">
        <f t="shared" si="20"/>
        <v>0</v>
      </c>
      <c r="CW36" s="16"/>
      <c r="CX36" s="19"/>
      <c r="CY36" s="14"/>
      <c r="CZ36" s="16"/>
      <c r="DA36" s="18">
        <f t="shared" si="21"/>
        <v>0</v>
      </c>
      <c r="DB36" s="16"/>
      <c r="DC36" s="19"/>
      <c r="DD36" s="14"/>
      <c r="DE36" s="16"/>
      <c r="DF36" s="18">
        <f t="shared" si="22"/>
        <v>0</v>
      </c>
      <c r="DG36" s="16"/>
      <c r="DH36" s="19"/>
      <c r="DI36" s="14"/>
      <c r="DJ36" s="16"/>
      <c r="DK36" s="18">
        <f t="shared" si="23"/>
        <v>0</v>
      </c>
      <c r="DL36" s="16"/>
      <c r="DM36" s="19"/>
      <c r="DN36" s="14"/>
      <c r="DO36" s="16"/>
      <c r="DP36" s="18">
        <f t="shared" si="24"/>
        <v>0</v>
      </c>
      <c r="DQ36" s="16"/>
      <c r="DR36" s="19"/>
      <c r="DS36" s="14"/>
      <c r="DT36" s="16"/>
      <c r="DU36" s="18">
        <f t="shared" si="25"/>
        <v>0</v>
      </c>
      <c r="DV36" s="16"/>
      <c r="DW36" s="19"/>
      <c r="DX36" s="14"/>
      <c r="DY36" s="16"/>
      <c r="DZ36" s="18">
        <f t="shared" si="26"/>
        <v>0</v>
      </c>
      <c r="EA36" s="16"/>
      <c r="EB36" s="19"/>
      <c r="EC36" s="16">
        <f t="shared" si="27"/>
        <v>0</v>
      </c>
      <c r="ED36" s="14"/>
      <c r="EE36" s="16"/>
      <c r="EF36" s="18">
        <f t="shared" si="28"/>
        <v>0</v>
      </c>
      <c r="EG36" s="16"/>
      <c r="EH36" s="19"/>
      <c r="EI36" s="14"/>
      <c r="EJ36" s="16"/>
      <c r="EK36" s="18">
        <f t="shared" si="29"/>
        <v>0</v>
      </c>
      <c r="EL36" s="16"/>
      <c r="EM36" s="19"/>
      <c r="EN36" s="14"/>
      <c r="EO36" s="16"/>
      <c r="EP36" s="18">
        <f t="shared" si="30"/>
        <v>0</v>
      </c>
      <c r="EQ36" s="16"/>
      <c r="ER36" s="19"/>
      <c r="ES36" s="14"/>
      <c r="ET36" s="16"/>
      <c r="EU36" s="18">
        <f t="shared" si="31"/>
        <v>0</v>
      </c>
      <c r="EV36" s="16"/>
      <c r="EW36" s="19"/>
      <c r="EX36" s="14"/>
      <c r="EY36" s="16"/>
      <c r="EZ36" s="18">
        <f t="shared" si="32"/>
        <v>0</v>
      </c>
      <c r="FA36" s="16"/>
      <c r="FB36" s="19"/>
      <c r="FC36" s="14"/>
      <c r="FD36" s="16"/>
      <c r="FE36" s="18">
        <f t="shared" si="33"/>
        <v>0</v>
      </c>
      <c r="FF36" s="16"/>
      <c r="FG36" s="19"/>
      <c r="FH36" s="14"/>
      <c r="FI36" s="16"/>
      <c r="FJ36" s="18">
        <f t="shared" si="34"/>
        <v>0</v>
      </c>
      <c r="FK36" s="16"/>
      <c r="FL36" s="19"/>
      <c r="FM36" s="14"/>
      <c r="FN36" s="16"/>
      <c r="FO36" s="18">
        <f t="shared" si="35"/>
        <v>0</v>
      </c>
      <c r="FP36" s="16"/>
      <c r="FQ36" s="19"/>
      <c r="FR36" s="14"/>
      <c r="FS36" s="16"/>
      <c r="FT36" s="18">
        <f t="shared" si="36"/>
        <v>0</v>
      </c>
      <c r="FU36" s="16"/>
      <c r="FV36" s="19"/>
      <c r="FW36" s="14"/>
      <c r="FX36" s="16"/>
      <c r="FY36" s="18">
        <f t="shared" si="37"/>
        <v>0</v>
      </c>
      <c r="FZ36" s="16"/>
      <c r="GA36" s="19"/>
      <c r="GB36" s="14"/>
      <c r="GC36" s="16"/>
      <c r="GD36" s="18">
        <f t="shared" si="38"/>
        <v>0</v>
      </c>
      <c r="GE36" s="16"/>
      <c r="GF36" s="19"/>
      <c r="GG36" s="14"/>
      <c r="GH36" s="16"/>
      <c r="GI36" s="18">
        <f t="shared" si="39"/>
        <v>0</v>
      </c>
      <c r="GJ36" s="16"/>
      <c r="GK36" s="19"/>
    </row>
    <row r="37" spans="1:193">
      <c r="A37" s="12">
        <v>34</v>
      </c>
      <c r="B37" s="13">
        <f>[1]项目立项!C57</f>
        <v>0</v>
      </c>
      <c r="C37" s="13">
        <f>[1]项目立项!D57</f>
        <v>0</v>
      </c>
      <c r="D37" s="13">
        <f>[1]项目立项!E57</f>
        <v>0</v>
      </c>
      <c r="E37" s="13">
        <f>[1]项目立项!F57</f>
        <v>0</v>
      </c>
      <c r="F37" s="14"/>
      <c r="G37" s="15">
        <f t="shared" si="0"/>
        <v>0</v>
      </c>
      <c r="H37" s="16"/>
      <c r="I37" s="17"/>
      <c r="J37" s="16"/>
      <c r="K37" s="16">
        <f t="shared" si="1"/>
        <v>0</v>
      </c>
      <c r="L37" s="14"/>
      <c r="M37" s="16"/>
      <c r="N37" s="18">
        <f t="shared" si="2"/>
        <v>0</v>
      </c>
      <c r="O37" s="16"/>
      <c r="P37" s="19"/>
      <c r="Q37" s="14"/>
      <c r="R37" s="16"/>
      <c r="S37" s="18">
        <f t="shared" si="3"/>
        <v>0</v>
      </c>
      <c r="T37" s="16"/>
      <c r="U37" s="19"/>
      <c r="V37" s="14"/>
      <c r="W37" s="16"/>
      <c r="X37" s="18">
        <f t="shared" si="4"/>
        <v>0</v>
      </c>
      <c r="Y37" s="16"/>
      <c r="Z37" s="19"/>
      <c r="AA37" s="14"/>
      <c r="AB37" s="16"/>
      <c r="AC37" s="18">
        <f t="shared" si="5"/>
        <v>0</v>
      </c>
      <c r="AD37" s="16"/>
      <c r="AE37" s="19"/>
      <c r="AF37" s="14"/>
      <c r="AG37" s="16"/>
      <c r="AH37" s="18">
        <f t="shared" si="6"/>
        <v>0</v>
      </c>
      <c r="AI37" s="16"/>
      <c r="AJ37" s="19"/>
      <c r="AK37" s="14"/>
      <c r="AL37" s="16"/>
      <c r="AM37" s="18">
        <f t="shared" si="7"/>
        <v>0</v>
      </c>
      <c r="AN37" s="16"/>
      <c r="AO37" s="19"/>
      <c r="AP37" s="14"/>
      <c r="AQ37" s="16"/>
      <c r="AR37" s="18">
        <f t="shared" si="8"/>
        <v>0</v>
      </c>
      <c r="AS37" s="16"/>
      <c r="AT37" s="19"/>
      <c r="AU37" s="14"/>
      <c r="AV37" s="16"/>
      <c r="AW37" s="18">
        <f t="shared" si="9"/>
        <v>0</v>
      </c>
      <c r="AX37" s="16"/>
      <c r="AY37" s="19"/>
      <c r="AZ37" s="14"/>
      <c r="BA37" s="16"/>
      <c r="BB37" s="18">
        <f t="shared" si="10"/>
        <v>0</v>
      </c>
      <c r="BC37" s="16"/>
      <c r="BD37" s="19"/>
      <c r="BE37" s="14"/>
      <c r="BF37" s="16"/>
      <c r="BG37" s="18">
        <f t="shared" si="11"/>
        <v>0</v>
      </c>
      <c r="BH37" s="16"/>
      <c r="BI37" s="19"/>
      <c r="BJ37" s="14"/>
      <c r="BK37" s="16"/>
      <c r="BL37" s="18">
        <f t="shared" si="12"/>
        <v>0</v>
      </c>
      <c r="BM37" s="16"/>
      <c r="BN37" s="19"/>
      <c r="BO37" s="14"/>
      <c r="BP37" s="16"/>
      <c r="BQ37" s="18">
        <f t="shared" si="13"/>
        <v>0</v>
      </c>
      <c r="BR37" s="16"/>
      <c r="BS37" s="19"/>
      <c r="BT37" s="16">
        <f t="shared" si="14"/>
        <v>0</v>
      </c>
      <c r="BU37" s="14"/>
      <c r="BV37" s="16"/>
      <c r="BW37" s="18">
        <f t="shared" si="15"/>
        <v>0</v>
      </c>
      <c r="BX37" s="16"/>
      <c r="BY37" s="19"/>
      <c r="BZ37" s="14"/>
      <c r="CA37" s="16"/>
      <c r="CB37" s="18">
        <f t="shared" si="16"/>
        <v>0</v>
      </c>
      <c r="CC37" s="16"/>
      <c r="CD37" s="19"/>
      <c r="CE37" s="14"/>
      <c r="CF37" s="16"/>
      <c r="CG37" s="18">
        <f t="shared" si="17"/>
        <v>0</v>
      </c>
      <c r="CH37" s="16"/>
      <c r="CI37" s="19"/>
      <c r="CJ37" s="14"/>
      <c r="CK37" s="16"/>
      <c r="CL37" s="18">
        <f t="shared" si="18"/>
        <v>0</v>
      </c>
      <c r="CM37" s="16"/>
      <c r="CN37" s="19"/>
      <c r="CO37" s="14"/>
      <c r="CP37" s="16"/>
      <c r="CQ37" s="18">
        <f t="shared" si="19"/>
        <v>0</v>
      </c>
      <c r="CR37" s="16"/>
      <c r="CS37" s="19"/>
      <c r="CT37" s="14"/>
      <c r="CU37" s="16"/>
      <c r="CV37" s="18">
        <f t="shared" si="20"/>
        <v>0</v>
      </c>
      <c r="CW37" s="16"/>
      <c r="CX37" s="19"/>
      <c r="CY37" s="14"/>
      <c r="CZ37" s="16"/>
      <c r="DA37" s="18">
        <f t="shared" si="21"/>
        <v>0</v>
      </c>
      <c r="DB37" s="16"/>
      <c r="DC37" s="19"/>
      <c r="DD37" s="14"/>
      <c r="DE37" s="16"/>
      <c r="DF37" s="18">
        <f t="shared" si="22"/>
        <v>0</v>
      </c>
      <c r="DG37" s="16"/>
      <c r="DH37" s="19"/>
      <c r="DI37" s="14"/>
      <c r="DJ37" s="16"/>
      <c r="DK37" s="18">
        <f t="shared" si="23"/>
        <v>0</v>
      </c>
      <c r="DL37" s="16"/>
      <c r="DM37" s="19"/>
      <c r="DN37" s="14"/>
      <c r="DO37" s="16"/>
      <c r="DP37" s="18">
        <f t="shared" si="24"/>
        <v>0</v>
      </c>
      <c r="DQ37" s="16"/>
      <c r="DR37" s="19"/>
      <c r="DS37" s="14"/>
      <c r="DT37" s="16"/>
      <c r="DU37" s="18">
        <f t="shared" si="25"/>
        <v>0</v>
      </c>
      <c r="DV37" s="16"/>
      <c r="DW37" s="19"/>
      <c r="DX37" s="14"/>
      <c r="DY37" s="16"/>
      <c r="DZ37" s="18">
        <f t="shared" si="26"/>
        <v>0</v>
      </c>
      <c r="EA37" s="16"/>
      <c r="EB37" s="19"/>
      <c r="EC37" s="16">
        <f t="shared" si="27"/>
        <v>0</v>
      </c>
      <c r="ED37" s="14"/>
      <c r="EE37" s="16"/>
      <c r="EF37" s="18">
        <f t="shared" si="28"/>
        <v>0</v>
      </c>
      <c r="EG37" s="16"/>
      <c r="EH37" s="19"/>
      <c r="EI37" s="14"/>
      <c r="EJ37" s="16"/>
      <c r="EK37" s="18">
        <f t="shared" si="29"/>
        <v>0</v>
      </c>
      <c r="EL37" s="16"/>
      <c r="EM37" s="19"/>
      <c r="EN37" s="14"/>
      <c r="EO37" s="16"/>
      <c r="EP37" s="18">
        <f t="shared" si="30"/>
        <v>0</v>
      </c>
      <c r="EQ37" s="16"/>
      <c r="ER37" s="19"/>
      <c r="ES37" s="14"/>
      <c r="ET37" s="16"/>
      <c r="EU37" s="18">
        <f t="shared" si="31"/>
        <v>0</v>
      </c>
      <c r="EV37" s="16"/>
      <c r="EW37" s="19"/>
      <c r="EX37" s="14"/>
      <c r="EY37" s="16"/>
      <c r="EZ37" s="18">
        <f t="shared" si="32"/>
        <v>0</v>
      </c>
      <c r="FA37" s="16"/>
      <c r="FB37" s="19"/>
      <c r="FC37" s="14"/>
      <c r="FD37" s="16"/>
      <c r="FE37" s="18">
        <f t="shared" si="33"/>
        <v>0</v>
      </c>
      <c r="FF37" s="16"/>
      <c r="FG37" s="19"/>
      <c r="FH37" s="14"/>
      <c r="FI37" s="16"/>
      <c r="FJ37" s="18">
        <f t="shared" si="34"/>
        <v>0</v>
      </c>
      <c r="FK37" s="16"/>
      <c r="FL37" s="19"/>
      <c r="FM37" s="14"/>
      <c r="FN37" s="16"/>
      <c r="FO37" s="18">
        <f t="shared" si="35"/>
        <v>0</v>
      </c>
      <c r="FP37" s="16"/>
      <c r="FQ37" s="19"/>
      <c r="FR37" s="14"/>
      <c r="FS37" s="16"/>
      <c r="FT37" s="18">
        <f t="shared" si="36"/>
        <v>0</v>
      </c>
      <c r="FU37" s="16"/>
      <c r="FV37" s="19"/>
      <c r="FW37" s="14"/>
      <c r="FX37" s="16"/>
      <c r="FY37" s="18">
        <f t="shared" si="37"/>
        <v>0</v>
      </c>
      <c r="FZ37" s="16"/>
      <c r="GA37" s="19"/>
      <c r="GB37" s="14"/>
      <c r="GC37" s="16"/>
      <c r="GD37" s="18">
        <f t="shared" si="38"/>
        <v>0</v>
      </c>
      <c r="GE37" s="16"/>
      <c r="GF37" s="19"/>
      <c r="GG37" s="14"/>
      <c r="GH37" s="16"/>
      <c r="GI37" s="18">
        <f t="shared" si="39"/>
        <v>0</v>
      </c>
      <c r="GJ37" s="16"/>
      <c r="GK37" s="19"/>
    </row>
    <row r="38" spans="1:193">
      <c r="A38" s="12">
        <v>35</v>
      </c>
      <c r="B38" s="13">
        <f>[1]项目立项!C58</f>
        <v>0</v>
      </c>
      <c r="C38" s="13">
        <f>[1]项目立项!D58</f>
        <v>0</v>
      </c>
      <c r="D38" s="13">
        <f>[1]项目立项!E58</f>
        <v>0</v>
      </c>
      <c r="E38" s="13">
        <f>[1]项目立项!F58</f>
        <v>0</v>
      </c>
      <c r="F38" s="14"/>
      <c r="G38" s="15">
        <f t="shared" si="0"/>
        <v>0</v>
      </c>
      <c r="H38" s="16"/>
      <c r="I38" s="17"/>
      <c r="J38" s="16"/>
      <c r="K38" s="16">
        <f t="shared" si="1"/>
        <v>0</v>
      </c>
      <c r="L38" s="14"/>
      <c r="M38" s="16"/>
      <c r="N38" s="18">
        <f t="shared" si="2"/>
        <v>0</v>
      </c>
      <c r="O38" s="16"/>
      <c r="P38" s="19"/>
      <c r="Q38" s="14"/>
      <c r="R38" s="16"/>
      <c r="S38" s="18">
        <f t="shared" si="3"/>
        <v>0</v>
      </c>
      <c r="T38" s="16"/>
      <c r="U38" s="19"/>
      <c r="V38" s="14"/>
      <c r="W38" s="16"/>
      <c r="X38" s="18">
        <f t="shared" si="4"/>
        <v>0</v>
      </c>
      <c r="Y38" s="16"/>
      <c r="Z38" s="19"/>
      <c r="AA38" s="14"/>
      <c r="AB38" s="16"/>
      <c r="AC38" s="18">
        <f t="shared" si="5"/>
        <v>0</v>
      </c>
      <c r="AD38" s="16"/>
      <c r="AE38" s="19"/>
      <c r="AF38" s="14"/>
      <c r="AG38" s="16"/>
      <c r="AH38" s="18">
        <f t="shared" si="6"/>
        <v>0</v>
      </c>
      <c r="AI38" s="16"/>
      <c r="AJ38" s="19"/>
      <c r="AK38" s="14"/>
      <c r="AL38" s="16"/>
      <c r="AM38" s="18">
        <f t="shared" si="7"/>
        <v>0</v>
      </c>
      <c r="AN38" s="16"/>
      <c r="AO38" s="19"/>
      <c r="AP38" s="14"/>
      <c r="AQ38" s="16"/>
      <c r="AR38" s="18">
        <f t="shared" si="8"/>
        <v>0</v>
      </c>
      <c r="AS38" s="16"/>
      <c r="AT38" s="19"/>
      <c r="AU38" s="14"/>
      <c r="AV38" s="16"/>
      <c r="AW38" s="18">
        <f t="shared" si="9"/>
        <v>0</v>
      </c>
      <c r="AX38" s="16"/>
      <c r="AY38" s="19"/>
      <c r="AZ38" s="14"/>
      <c r="BA38" s="16"/>
      <c r="BB38" s="18">
        <f t="shared" si="10"/>
        <v>0</v>
      </c>
      <c r="BC38" s="16"/>
      <c r="BD38" s="19"/>
      <c r="BE38" s="14"/>
      <c r="BF38" s="16"/>
      <c r="BG38" s="18">
        <f t="shared" si="11"/>
        <v>0</v>
      </c>
      <c r="BH38" s="16"/>
      <c r="BI38" s="19"/>
      <c r="BJ38" s="14"/>
      <c r="BK38" s="16"/>
      <c r="BL38" s="18">
        <f t="shared" si="12"/>
        <v>0</v>
      </c>
      <c r="BM38" s="16"/>
      <c r="BN38" s="19"/>
      <c r="BO38" s="14"/>
      <c r="BP38" s="16"/>
      <c r="BQ38" s="18">
        <f t="shared" si="13"/>
        <v>0</v>
      </c>
      <c r="BR38" s="16"/>
      <c r="BS38" s="19"/>
      <c r="BT38" s="16">
        <f t="shared" si="14"/>
        <v>0</v>
      </c>
      <c r="BU38" s="14"/>
      <c r="BV38" s="16"/>
      <c r="BW38" s="18">
        <f t="shared" si="15"/>
        <v>0</v>
      </c>
      <c r="BX38" s="16"/>
      <c r="BY38" s="19"/>
      <c r="BZ38" s="14"/>
      <c r="CA38" s="16"/>
      <c r="CB38" s="18">
        <f t="shared" si="16"/>
        <v>0</v>
      </c>
      <c r="CC38" s="16"/>
      <c r="CD38" s="19"/>
      <c r="CE38" s="14"/>
      <c r="CF38" s="16"/>
      <c r="CG38" s="18">
        <f t="shared" si="17"/>
        <v>0</v>
      </c>
      <c r="CH38" s="16"/>
      <c r="CI38" s="19"/>
      <c r="CJ38" s="14"/>
      <c r="CK38" s="16"/>
      <c r="CL38" s="18">
        <f t="shared" si="18"/>
        <v>0</v>
      </c>
      <c r="CM38" s="16"/>
      <c r="CN38" s="19"/>
      <c r="CO38" s="14"/>
      <c r="CP38" s="16"/>
      <c r="CQ38" s="18">
        <f t="shared" si="19"/>
        <v>0</v>
      </c>
      <c r="CR38" s="16"/>
      <c r="CS38" s="19"/>
      <c r="CT38" s="14"/>
      <c r="CU38" s="16"/>
      <c r="CV38" s="18">
        <f t="shared" si="20"/>
        <v>0</v>
      </c>
      <c r="CW38" s="16"/>
      <c r="CX38" s="19"/>
      <c r="CY38" s="14"/>
      <c r="CZ38" s="16"/>
      <c r="DA38" s="18">
        <f t="shared" si="21"/>
        <v>0</v>
      </c>
      <c r="DB38" s="16"/>
      <c r="DC38" s="19"/>
      <c r="DD38" s="14"/>
      <c r="DE38" s="16"/>
      <c r="DF38" s="18">
        <f t="shared" si="22"/>
        <v>0</v>
      </c>
      <c r="DG38" s="16"/>
      <c r="DH38" s="19"/>
      <c r="DI38" s="14"/>
      <c r="DJ38" s="16"/>
      <c r="DK38" s="18">
        <f t="shared" si="23"/>
        <v>0</v>
      </c>
      <c r="DL38" s="16"/>
      <c r="DM38" s="19"/>
      <c r="DN38" s="14"/>
      <c r="DO38" s="16"/>
      <c r="DP38" s="18">
        <f t="shared" si="24"/>
        <v>0</v>
      </c>
      <c r="DQ38" s="16"/>
      <c r="DR38" s="19"/>
      <c r="DS38" s="14"/>
      <c r="DT38" s="16"/>
      <c r="DU38" s="18">
        <f t="shared" si="25"/>
        <v>0</v>
      </c>
      <c r="DV38" s="16"/>
      <c r="DW38" s="19"/>
      <c r="DX38" s="14"/>
      <c r="DY38" s="16"/>
      <c r="DZ38" s="18">
        <f t="shared" si="26"/>
        <v>0</v>
      </c>
      <c r="EA38" s="16"/>
      <c r="EB38" s="19"/>
      <c r="EC38" s="16">
        <f t="shared" si="27"/>
        <v>0</v>
      </c>
      <c r="ED38" s="14"/>
      <c r="EE38" s="16"/>
      <c r="EF38" s="18">
        <f t="shared" si="28"/>
        <v>0</v>
      </c>
      <c r="EG38" s="16"/>
      <c r="EH38" s="19"/>
      <c r="EI38" s="14"/>
      <c r="EJ38" s="16"/>
      <c r="EK38" s="18">
        <f t="shared" si="29"/>
        <v>0</v>
      </c>
      <c r="EL38" s="16"/>
      <c r="EM38" s="19"/>
      <c r="EN38" s="14"/>
      <c r="EO38" s="16"/>
      <c r="EP38" s="18">
        <f t="shared" si="30"/>
        <v>0</v>
      </c>
      <c r="EQ38" s="16"/>
      <c r="ER38" s="19"/>
      <c r="ES38" s="14"/>
      <c r="ET38" s="16"/>
      <c r="EU38" s="18">
        <f t="shared" si="31"/>
        <v>0</v>
      </c>
      <c r="EV38" s="16"/>
      <c r="EW38" s="19"/>
      <c r="EX38" s="14"/>
      <c r="EY38" s="16"/>
      <c r="EZ38" s="18">
        <f t="shared" si="32"/>
        <v>0</v>
      </c>
      <c r="FA38" s="16"/>
      <c r="FB38" s="19"/>
      <c r="FC38" s="14"/>
      <c r="FD38" s="16"/>
      <c r="FE38" s="18">
        <f t="shared" si="33"/>
        <v>0</v>
      </c>
      <c r="FF38" s="16"/>
      <c r="FG38" s="19"/>
      <c r="FH38" s="14"/>
      <c r="FI38" s="16"/>
      <c r="FJ38" s="18">
        <f t="shared" si="34"/>
        <v>0</v>
      </c>
      <c r="FK38" s="16"/>
      <c r="FL38" s="19"/>
      <c r="FM38" s="14"/>
      <c r="FN38" s="16"/>
      <c r="FO38" s="18">
        <f t="shared" si="35"/>
        <v>0</v>
      </c>
      <c r="FP38" s="16"/>
      <c r="FQ38" s="19"/>
      <c r="FR38" s="14"/>
      <c r="FS38" s="16"/>
      <c r="FT38" s="18">
        <f t="shared" si="36"/>
        <v>0</v>
      </c>
      <c r="FU38" s="16"/>
      <c r="FV38" s="19"/>
      <c r="FW38" s="14"/>
      <c r="FX38" s="16"/>
      <c r="FY38" s="18">
        <f t="shared" si="37"/>
        <v>0</v>
      </c>
      <c r="FZ38" s="16"/>
      <c r="GA38" s="19"/>
      <c r="GB38" s="14"/>
      <c r="GC38" s="16"/>
      <c r="GD38" s="18">
        <f t="shared" si="38"/>
        <v>0</v>
      </c>
      <c r="GE38" s="16"/>
      <c r="GF38" s="19"/>
      <c r="GG38" s="14"/>
      <c r="GH38" s="16"/>
      <c r="GI38" s="18">
        <f t="shared" si="39"/>
        <v>0</v>
      </c>
      <c r="GJ38" s="16"/>
      <c r="GK38" s="19"/>
    </row>
    <row r="39" spans="1:193">
      <c r="A39" s="12">
        <v>36</v>
      </c>
      <c r="B39" s="13">
        <f>[1]项目立项!C59</f>
        <v>0</v>
      </c>
      <c r="C39" s="13">
        <f>[1]项目立项!D59</f>
        <v>0</v>
      </c>
      <c r="D39" s="13">
        <f>[1]项目立项!E59</f>
        <v>0</v>
      </c>
      <c r="E39" s="13">
        <f>[1]项目立项!F59</f>
        <v>0</v>
      </c>
      <c r="F39" s="14"/>
      <c r="G39" s="15">
        <f t="shared" si="0"/>
        <v>0</v>
      </c>
      <c r="H39" s="16"/>
      <c r="I39" s="17"/>
      <c r="J39" s="16"/>
      <c r="K39" s="16">
        <f t="shared" si="1"/>
        <v>0</v>
      </c>
      <c r="L39" s="14"/>
      <c r="M39" s="16"/>
      <c r="N39" s="18">
        <f t="shared" si="2"/>
        <v>0</v>
      </c>
      <c r="O39" s="16"/>
      <c r="P39" s="19"/>
      <c r="Q39" s="14"/>
      <c r="R39" s="16"/>
      <c r="S39" s="18">
        <f t="shared" si="3"/>
        <v>0</v>
      </c>
      <c r="T39" s="16"/>
      <c r="U39" s="19"/>
      <c r="V39" s="14"/>
      <c r="W39" s="16"/>
      <c r="X39" s="18">
        <f t="shared" si="4"/>
        <v>0</v>
      </c>
      <c r="Y39" s="16"/>
      <c r="Z39" s="19"/>
      <c r="AA39" s="14"/>
      <c r="AB39" s="16"/>
      <c r="AC39" s="18">
        <f t="shared" si="5"/>
        <v>0</v>
      </c>
      <c r="AD39" s="16"/>
      <c r="AE39" s="19"/>
      <c r="AF39" s="14"/>
      <c r="AG39" s="16"/>
      <c r="AH39" s="18">
        <f t="shared" si="6"/>
        <v>0</v>
      </c>
      <c r="AI39" s="16"/>
      <c r="AJ39" s="19"/>
      <c r="AK39" s="14"/>
      <c r="AL39" s="16"/>
      <c r="AM39" s="18">
        <f t="shared" si="7"/>
        <v>0</v>
      </c>
      <c r="AN39" s="16"/>
      <c r="AO39" s="19"/>
      <c r="AP39" s="14"/>
      <c r="AQ39" s="16"/>
      <c r="AR39" s="18">
        <f t="shared" si="8"/>
        <v>0</v>
      </c>
      <c r="AS39" s="16"/>
      <c r="AT39" s="19"/>
      <c r="AU39" s="14"/>
      <c r="AV39" s="16"/>
      <c r="AW39" s="18">
        <f t="shared" si="9"/>
        <v>0</v>
      </c>
      <c r="AX39" s="16"/>
      <c r="AY39" s="19"/>
      <c r="AZ39" s="14"/>
      <c r="BA39" s="16"/>
      <c r="BB39" s="18">
        <f t="shared" si="10"/>
        <v>0</v>
      </c>
      <c r="BC39" s="16"/>
      <c r="BD39" s="19"/>
      <c r="BE39" s="14"/>
      <c r="BF39" s="16"/>
      <c r="BG39" s="18">
        <f t="shared" si="11"/>
        <v>0</v>
      </c>
      <c r="BH39" s="16"/>
      <c r="BI39" s="19"/>
      <c r="BJ39" s="14"/>
      <c r="BK39" s="16"/>
      <c r="BL39" s="18">
        <f t="shared" si="12"/>
        <v>0</v>
      </c>
      <c r="BM39" s="16"/>
      <c r="BN39" s="19"/>
      <c r="BO39" s="14"/>
      <c r="BP39" s="16"/>
      <c r="BQ39" s="18">
        <f t="shared" si="13"/>
        <v>0</v>
      </c>
      <c r="BR39" s="16"/>
      <c r="BS39" s="19"/>
      <c r="BT39" s="16">
        <f t="shared" si="14"/>
        <v>0</v>
      </c>
      <c r="BU39" s="14"/>
      <c r="BV39" s="16"/>
      <c r="BW39" s="18">
        <f t="shared" si="15"/>
        <v>0</v>
      </c>
      <c r="BX39" s="16"/>
      <c r="BY39" s="19"/>
      <c r="BZ39" s="14"/>
      <c r="CA39" s="16"/>
      <c r="CB39" s="18">
        <f t="shared" si="16"/>
        <v>0</v>
      </c>
      <c r="CC39" s="16"/>
      <c r="CD39" s="19"/>
      <c r="CE39" s="14"/>
      <c r="CF39" s="16"/>
      <c r="CG39" s="18">
        <f t="shared" si="17"/>
        <v>0</v>
      </c>
      <c r="CH39" s="16"/>
      <c r="CI39" s="19"/>
      <c r="CJ39" s="14"/>
      <c r="CK39" s="16"/>
      <c r="CL39" s="18">
        <f t="shared" si="18"/>
        <v>0</v>
      </c>
      <c r="CM39" s="16"/>
      <c r="CN39" s="19"/>
      <c r="CO39" s="14"/>
      <c r="CP39" s="16"/>
      <c r="CQ39" s="18">
        <f t="shared" si="19"/>
        <v>0</v>
      </c>
      <c r="CR39" s="16"/>
      <c r="CS39" s="19"/>
      <c r="CT39" s="14"/>
      <c r="CU39" s="16"/>
      <c r="CV39" s="18">
        <f t="shared" si="20"/>
        <v>0</v>
      </c>
      <c r="CW39" s="16"/>
      <c r="CX39" s="19"/>
      <c r="CY39" s="14"/>
      <c r="CZ39" s="16"/>
      <c r="DA39" s="18">
        <f t="shared" si="21"/>
        <v>0</v>
      </c>
      <c r="DB39" s="16"/>
      <c r="DC39" s="19"/>
      <c r="DD39" s="14"/>
      <c r="DE39" s="16"/>
      <c r="DF39" s="18">
        <f t="shared" si="22"/>
        <v>0</v>
      </c>
      <c r="DG39" s="16"/>
      <c r="DH39" s="19"/>
      <c r="DI39" s="14"/>
      <c r="DJ39" s="16"/>
      <c r="DK39" s="18">
        <f t="shared" si="23"/>
        <v>0</v>
      </c>
      <c r="DL39" s="16"/>
      <c r="DM39" s="19"/>
      <c r="DN39" s="14"/>
      <c r="DO39" s="16"/>
      <c r="DP39" s="18">
        <f t="shared" si="24"/>
        <v>0</v>
      </c>
      <c r="DQ39" s="16"/>
      <c r="DR39" s="19"/>
      <c r="DS39" s="14"/>
      <c r="DT39" s="16"/>
      <c r="DU39" s="18">
        <f t="shared" si="25"/>
        <v>0</v>
      </c>
      <c r="DV39" s="16"/>
      <c r="DW39" s="19"/>
      <c r="DX39" s="14"/>
      <c r="DY39" s="16"/>
      <c r="DZ39" s="18">
        <f t="shared" si="26"/>
        <v>0</v>
      </c>
      <c r="EA39" s="16"/>
      <c r="EB39" s="19"/>
      <c r="EC39" s="16">
        <f t="shared" si="27"/>
        <v>0</v>
      </c>
      <c r="ED39" s="14"/>
      <c r="EE39" s="16"/>
      <c r="EF39" s="18">
        <f t="shared" si="28"/>
        <v>0</v>
      </c>
      <c r="EG39" s="16"/>
      <c r="EH39" s="19"/>
      <c r="EI39" s="14"/>
      <c r="EJ39" s="16"/>
      <c r="EK39" s="18">
        <f t="shared" si="29"/>
        <v>0</v>
      </c>
      <c r="EL39" s="16"/>
      <c r="EM39" s="19"/>
      <c r="EN39" s="14"/>
      <c r="EO39" s="16"/>
      <c r="EP39" s="18">
        <f t="shared" si="30"/>
        <v>0</v>
      </c>
      <c r="EQ39" s="16"/>
      <c r="ER39" s="19"/>
      <c r="ES39" s="14"/>
      <c r="ET39" s="16"/>
      <c r="EU39" s="18">
        <f t="shared" si="31"/>
        <v>0</v>
      </c>
      <c r="EV39" s="16"/>
      <c r="EW39" s="19"/>
      <c r="EX39" s="14"/>
      <c r="EY39" s="16"/>
      <c r="EZ39" s="18">
        <f t="shared" si="32"/>
        <v>0</v>
      </c>
      <c r="FA39" s="16"/>
      <c r="FB39" s="19"/>
      <c r="FC39" s="14"/>
      <c r="FD39" s="16"/>
      <c r="FE39" s="18">
        <f t="shared" si="33"/>
        <v>0</v>
      </c>
      <c r="FF39" s="16"/>
      <c r="FG39" s="19"/>
      <c r="FH39" s="14"/>
      <c r="FI39" s="16"/>
      <c r="FJ39" s="18">
        <f t="shared" si="34"/>
        <v>0</v>
      </c>
      <c r="FK39" s="16"/>
      <c r="FL39" s="19"/>
      <c r="FM39" s="14"/>
      <c r="FN39" s="16"/>
      <c r="FO39" s="18">
        <f t="shared" si="35"/>
        <v>0</v>
      </c>
      <c r="FP39" s="16"/>
      <c r="FQ39" s="19"/>
      <c r="FR39" s="14"/>
      <c r="FS39" s="16"/>
      <c r="FT39" s="18">
        <f t="shared" si="36"/>
        <v>0</v>
      </c>
      <c r="FU39" s="16"/>
      <c r="FV39" s="19"/>
      <c r="FW39" s="14"/>
      <c r="FX39" s="16"/>
      <c r="FY39" s="18">
        <f t="shared" si="37"/>
        <v>0</v>
      </c>
      <c r="FZ39" s="16"/>
      <c r="GA39" s="19"/>
      <c r="GB39" s="14"/>
      <c r="GC39" s="16"/>
      <c r="GD39" s="18">
        <f t="shared" si="38"/>
        <v>0</v>
      </c>
      <c r="GE39" s="16"/>
      <c r="GF39" s="19"/>
      <c r="GG39" s="14"/>
      <c r="GH39" s="16"/>
      <c r="GI39" s="18">
        <f t="shared" si="39"/>
        <v>0</v>
      </c>
      <c r="GJ39" s="16"/>
      <c r="GK39" s="19"/>
    </row>
    <row r="40" spans="1:193">
      <c r="A40" s="12">
        <v>37</v>
      </c>
      <c r="B40" s="13">
        <f>[1]项目立项!C60</f>
        <v>0</v>
      </c>
      <c r="C40" s="13">
        <f>[1]项目立项!D60</f>
        <v>0</v>
      </c>
      <c r="D40" s="13">
        <f>[1]项目立项!E60</f>
        <v>0</v>
      </c>
      <c r="E40" s="13">
        <f>[1]项目立项!F60</f>
        <v>0</v>
      </c>
      <c r="F40" s="14"/>
      <c r="G40" s="15">
        <f t="shared" si="0"/>
        <v>0</v>
      </c>
      <c r="H40" s="16"/>
      <c r="I40" s="17"/>
      <c r="J40" s="16"/>
      <c r="K40" s="16">
        <f t="shared" si="1"/>
        <v>0</v>
      </c>
      <c r="L40" s="14"/>
      <c r="M40" s="16"/>
      <c r="N40" s="18">
        <f t="shared" si="2"/>
        <v>0</v>
      </c>
      <c r="O40" s="16"/>
      <c r="P40" s="19"/>
      <c r="Q40" s="14"/>
      <c r="R40" s="16"/>
      <c r="S40" s="18">
        <f t="shared" si="3"/>
        <v>0</v>
      </c>
      <c r="T40" s="16"/>
      <c r="U40" s="19"/>
      <c r="V40" s="14"/>
      <c r="W40" s="16"/>
      <c r="X40" s="18">
        <f t="shared" si="4"/>
        <v>0</v>
      </c>
      <c r="Y40" s="16"/>
      <c r="Z40" s="19"/>
      <c r="AA40" s="14"/>
      <c r="AB40" s="16"/>
      <c r="AC40" s="18">
        <f t="shared" si="5"/>
        <v>0</v>
      </c>
      <c r="AD40" s="16"/>
      <c r="AE40" s="19"/>
      <c r="AF40" s="14"/>
      <c r="AG40" s="16"/>
      <c r="AH40" s="18">
        <f t="shared" si="6"/>
        <v>0</v>
      </c>
      <c r="AI40" s="16"/>
      <c r="AJ40" s="19"/>
      <c r="AK40" s="14"/>
      <c r="AL40" s="16"/>
      <c r="AM40" s="18">
        <f t="shared" si="7"/>
        <v>0</v>
      </c>
      <c r="AN40" s="16"/>
      <c r="AO40" s="19"/>
      <c r="AP40" s="14"/>
      <c r="AQ40" s="16"/>
      <c r="AR40" s="18">
        <f t="shared" si="8"/>
        <v>0</v>
      </c>
      <c r="AS40" s="16"/>
      <c r="AT40" s="19"/>
      <c r="AU40" s="14"/>
      <c r="AV40" s="16"/>
      <c r="AW40" s="18">
        <f t="shared" si="9"/>
        <v>0</v>
      </c>
      <c r="AX40" s="16"/>
      <c r="AY40" s="19"/>
      <c r="AZ40" s="14"/>
      <c r="BA40" s="16"/>
      <c r="BB40" s="18">
        <f t="shared" si="10"/>
        <v>0</v>
      </c>
      <c r="BC40" s="16"/>
      <c r="BD40" s="19"/>
      <c r="BE40" s="14"/>
      <c r="BF40" s="16"/>
      <c r="BG40" s="18">
        <f t="shared" si="11"/>
        <v>0</v>
      </c>
      <c r="BH40" s="16"/>
      <c r="BI40" s="19"/>
      <c r="BJ40" s="14"/>
      <c r="BK40" s="16"/>
      <c r="BL40" s="18">
        <f t="shared" si="12"/>
        <v>0</v>
      </c>
      <c r="BM40" s="16"/>
      <c r="BN40" s="19"/>
      <c r="BO40" s="14"/>
      <c r="BP40" s="16"/>
      <c r="BQ40" s="18">
        <f t="shared" si="13"/>
        <v>0</v>
      </c>
      <c r="BR40" s="16"/>
      <c r="BS40" s="19"/>
      <c r="BT40" s="16">
        <f t="shared" si="14"/>
        <v>0</v>
      </c>
      <c r="BU40" s="14"/>
      <c r="BV40" s="16"/>
      <c r="BW40" s="18">
        <f t="shared" si="15"/>
        <v>0</v>
      </c>
      <c r="BX40" s="16"/>
      <c r="BY40" s="19"/>
      <c r="BZ40" s="14"/>
      <c r="CA40" s="16"/>
      <c r="CB40" s="18">
        <f t="shared" si="16"/>
        <v>0</v>
      </c>
      <c r="CC40" s="16"/>
      <c r="CD40" s="19"/>
      <c r="CE40" s="14"/>
      <c r="CF40" s="16"/>
      <c r="CG40" s="18">
        <f t="shared" si="17"/>
        <v>0</v>
      </c>
      <c r="CH40" s="16"/>
      <c r="CI40" s="19"/>
      <c r="CJ40" s="14"/>
      <c r="CK40" s="16"/>
      <c r="CL40" s="18">
        <f t="shared" si="18"/>
        <v>0</v>
      </c>
      <c r="CM40" s="16"/>
      <c r="CN40" s="19"/>
      <c r="CO40" s="14"/>
      <c r="CP40" s="16"/>
      <c r="CQ40" s="18">
        <f t="shared" si="19"/>
        <v>0</v>
      </c>
      <c r="CR40" s="16"/>
      <c r="CS40" s="19"/>
      <c r="CT40" s="14"/>
      <c r="CU40" s="16"/>
      <c r="CV40" s="18">
        <f t="shared" si="20"/>
        <v>0</v>
      </c>
      <c r="CW40" s="16"/>
      <c r="CX40" s="19"/>
      <c r="CY40" s="14"/>
      <c r="CZ40" s="16"/>
      <c r="DA40" s="18">
        <f t="shared" si="21"/>
        <v>0</v>
      </c>
      <c r="DB40" s="16"/>
      <c r="DC40" s="19"/>
      <c r="DD40" s="14"/>
      <c r="DE40" s="16"/>
      <c r="DF40" s="18">
        <f t="shared" si="22"/>
        <v>0</v>
      </c>
      <c r="DG40" s="16"/>
      <c r="DH40" s="19"/>
      <c r="DI40" s="14"/>
      <c r="DJ40" s="16"/>
      <c r="DK40" s="18">
        <f t="shared" si="23"/>
        <v>0</v>
      </c>
      <c r="DL40" s="16"/>
      <c r="DM40" s="19"/>
      <c r="DN40" s="14"/>
      <c r="DO40" s="16"/>
      <c r="DP40" s="18">
        <f t="shared" si="24"/>
        <v>0</v>
      </c>
      <c r="DQ40" s="16"/>
      <c r="DR40" s="19"/>
      <c r="DS40" s="14"/>
      <c r="DT40" s="16"/>
      <c r="DU40" s="18">
        <f t="shared" si="25"/>
        <v>0</v>
      </c>
      <c r="DV40" s="16"/>
      <c r="DW40" s="19"/>
      <c r="DX40" s="14"/>
      <c r="DY40" s="16"/>
      <c r="DZ40" s="18">
        <f t="shared" si="26"/>
        <v>0</v>
      </c>
      <c r="EA40" s="16"/>
      <c r="EB40" s="19"/>
      <c r="EC40" s="16">
        <f t="shared" si="27"/>
        <v>0</v>
      </c>
      <c r="ED40" s="14"/>
      <c r="EE40" s="16"/>
      <c r="EF40" s="18">
        <f t="shared" si="28"/>
        <v>0</v>
      </c>
      <c r="EG40" s="16"/>
      <c r="EH40" s="19"/>
      <c r="EI40" s="14"/>
      <c r="EJ40" s="16"/>
      <c r="EK40" s="18">
        <f t="shared" si="29"/>
        <v>0</v>
      </c>
      <c r="EL40" s="16"/>
      <c r="EM40" s="19"/>
      <c r="EN40" s="14"/>
      <c r="EO40" s="16"/>
      <c r="EP40" s="18">
        <f t="shared" si="30"/>
        <v>0</v>
      </c>
      <c r="EQ40" s="16"/>
      <c r="ER40" s="19"/>
      <c r="ES40" s="14"/>
      <c r="ET40" s="16"/>
      <c r="EU40" s="18">
        <f t="shared" si="31"/>
        <v>0</v>
      </c>
      <c r="EV40" s="16"/>
      <c r="EW40" s="19"/>
      <c r="EX40" s="14"/>
      <c r="EY40" s="16"/>
      <c r="EZ40" s="18">
        <f t="shared" si="32"/>
        <v>0</v>
      </c>
      <c r="FA40" s="16"/>
      <c r="FB40" s="19"/>
      <c r="FC40" s="14"/>
      <c r="FD40" s="16"/>
      <c r="FE40" s="18">
        <f t="shared" si="33"/>
        <v>0</v>
      </c>
      <c r="FF40" s="16"/>
      <c r="FG40" s="19"/>
      <c r="FH40" s="14"/>
      <c r="FI40" s="16"/>
      <c r="FJ40" s="18">
        <f t="shared" si="34"/>
        <v>0</v>
      </c>
      <c r="FK40" s="16"/>
      <c r="FL40" s="19"/>
      <c r="FM40" s="14"/>
      <c r="FN40" s="16"/>
      <c r="FO40" s="18">
        <f t="shared" si="35"/>
        <v>0</v>
      </c>
      <c r="FP40" s="16"/>
      <c r="FQ40" s="19"/>
      <c r="FR40" s="14"/>
      <c r="FS40" s="16"/>
      <c r="FT40" s="18">
        <f t="shared" si="36"/>
        <v>0</v>
      </c>
      <c r="FU40" s="16"/>
      <c r="FV40" s="19"/>
      <c r="FW40" s="14"/>
      <c r="FX40" s="16"/>
      <c r="FY40" s="18">
        <f t="shared" si="37"/>
        <v>0</v>
      </c>
      <c r="FZ40" s="16"/>
      <c r="GA40" s="19"/>
      <c r="GB40" s="14"/>
      <c r="GC40" s="16"/>
      <c r="GD40" s="18">
        <f t="shared" si="38"/>
        <v>0</v>
      </c>
      <c r="GE40" s="16"/>
      <c r="GF40" s="19"/>
      <c r="GG40" s="14"/>
      <c r="GH40" s="16"/>
      <c r="GI40" s="18">
        <f t="shared" si="39"/>
        <v>0</v>
      </c>
      <c r="GJ40" s="16"/>
      <c r="GK40" s="19"/>
    </row>
    <row r="41" spans="1:193">
      <c r="A41" s="12">
        <v>38</v>
      </c>
      <c r="B41" s="13">
        <f>[1]项目立项!C61</f>
        <v>0</v>
      </c>
      <c r="C41" s="13">
        <f>[1]项目立项!D61</f>
        <v>0</v>
      </c>
      <c r="D41" s="13">
        <f>[1]项目立项!E61</f>
        <v>0</v>
      </c>
      <c r="E41" s="13">
        <f>[1]项目立项!F61</f>
        <v>0</v>
      </c>
      <c r="F41" s="14"/>
      <c r="G41" s="15">
        <f t="shared" si="0"/>
        <v>0</v>
      </c>
      <c r="H41" s="16"/>
      <c r="I41" s="17"/>
      <c r="J41" s="16"/>
      <c r="K41" s="16">
        <f t="shared" si="1"/>
        <v>0</v>
      </c>
      <c r="L41" s="14"/>
      <c r="M41" s="16"/>
      <c r="N41" s="18">
        <f t="shared" si="2"/>
        <v>0</v>
      </c>
      <c r="O41" s="16"/>
      <c r="P41" s="19"/>
      <c r="Q41" s="14"/>
      <c r="R41" s="16"/>
      <c r="S41" s="18">
        <f t="shared" si="3"/>
        <v>0</v>
      </c>
      <c r="T41" s="16"/>
      <c r="U41" s="19"/>
      <c r="V41" s="14"/>
      <c r="W41" s="16"/>
      <c r="X41" s="18">
        <f t="shared" si="4"/>
        <v>0</v>
      </c>
      <c r="Y41" s="16"/>
      <c r="Z41" s="19"/>
      <c r="AA41" s="14"/>
      <c r="AB41" s="16"/>
      <c r="AC41" s="18">
        <f t="shared" si="5"/>
        <v>0</v>
      </c>
      <c r="AD41" s="16"/>
      <c r="AE41" s="19"/>
      <c r="AF41" s="14"/>
      <c r="AG41" s="16"/>
      <c r="AH41" s="18">
        <f t="shared" si="6"/>
        <v>0</v>
      </c>
      <c r="AI41" s="16"/>
      <c r="AJ41" s="19"/>
      <c r="AK41" s="14"/>
      <c r="AL41" s="16"/>
      <c r="AM41" s="18">
        <f t="shared" si="7"/>
        <v>0</v>
      </c>
      <c r="AN41" s="16"/>
      <c r="AO41" s="19"/>
      <c r="AP41" s="14"/>
      <c r="AQ41" s="16"/>
      <c r="AR41" s="18">
        <f t="shared" si="8"/>
        <v>0</v>
      </c>
      <c r="AS41" s="16"/>
      <c r="AT41" s="19"/>
      <c r="AU41" s="14"/>
      <c r="AV41" s="16"/>
      <c r="AW41" s="18">
        <f t="shared" si="9"/>
        <v>0</v>
      </c>
      <c r="AX41" s="16"/>
      <c r="AY41" s="19"/>
      <c r="AZ41" s="14"/>
      <c r="BA41" s="16"/>
      <c r="BB41" s="18">
        <f t="shared" si="10"/>
        <v>0</v>
      </c>
      <c r="BC41" s="16"/>
      <c r="BD41" s="19"/>
      <c r="BE41" s="14"/>
      <c r="BF41" s="16"/>
      <c r="BG41" s="18">
        <f t="shared" si="11"/>
        <v>0</v>
      </c>
      <c r="BH41" s="16"/>
      <c r="BI41" s="19"/>
      <c r="BJ41" s="14"/>
      <c r="BK41" s="16"/>
      <c r="BL41" s="18">
        <f t="shared" si="12"/>
        <v>0</v>
      </c>
      <c r="BM41" s="16"/>
      <c r="BN41" s="19"/>
      <c r="BO41" s="14"/>
      <c r="BP41" s="16"/>
      <c r="BQ41" s="18">
        <f t="shared" si="13"/>
        <v>0</v>
      </c>
      <c r="BR41" s="16"/>
      <c r="BS41" s="19"/>
      <c r="BT41" s="16">
        <f t="shared" si="14"/>
        <v>0</v>
      </c>
      <c r="BU41" s="14"/>
      <c r="BV41" s="16"/>
      <c r="BW41" s="18">
        <f t="shared" si="15"/>
        <v>0</v>
      </c>
      <c r="BX41" s="16"/>
      <c r="BY41" s="19"/>
      <c r="BZ41" s="14"/>
      <c r="CA41" s="16"/>
      <c r="CB41" s="18">
        <f t="shared" si="16"/>
        <v>0</v>
      </c>
      <c r="CC41" s="16"/>
      <c r="CD41" s="19"/>
      <c r="CE41" s="14"/>
      <c r="CF41" s="16"/>
      <c r="CG41" s="18">
        <f t="shared" si="17"/>
        <v>0</v>
      </c>
      <c r="CH41" s="16"/>
      <c r="CI41" s="19"/>
      <c r="CJ41" s="14"/>
      <c r="CK41" s="16"/>
      <c r="CL41" s="18">
        <f t="shared" si="18"/>
        <v>0</v>
      </c>
      <c r="CM41" s="16"/>
      <c r="CN41" s="19"/>
      <c r="CO41" s="14"/>
      <c r="CP41" s="16"/>
      <c r="CQ41" s="18">
        <f t="shared" si="19"/>
        <v>0</v>
      </c>
      <c r="CR41" s="16"/>
      <c r="CS41" s="19"/>
      <c r="CT41" s="14"/>
      <c r="CU41" s="16"/>
      <c r="CV41" s="18">
        <f t="shared" si="20"/>
        <v>0</v>
      </c>
      <c r="CW41" s="16"/>
      <c r="CX41" s="19"/>
      <c r="CY41" s="14"/>
      <c r="CZ41" s="16"/>
      <c r="DA41" s="18">
        <f t="shared" si="21"/>
        <v>0</v>
      </c>
      <c r="DB41" s="16"/>
      <c r="DC41" s="19"/>
      <c r="DD41" s="14"/>
      <c r="DE41" s="16"/>
      <c r="DF41" s="18">
        <f t="shared" si="22"/>
        <v>0</v>
      </c>
      <c r="DG41" s="16"/>
      <c r="DH41" s="19"/>
      <c r="DI41" s="14"/>
      <c r="DJ41" s="16"/>
      <c r="DK41" s="18">
        <f t="shared" si="23"/>
        <v>0</v>
      </c>
      <c r="DL41" s="16"/>
      <c r="DM41" s="19"/>
      <c r="DN41" s="14"/>
      <c r="DO41" s="16"/>
      <c r="DP41" s="18">
        <f t="shared" si="24"/>
        <v>0</v>
      </c>
      <c r="DQ41" s="16"/>
      <c r="DR41" s="19"/>
      <c r="DS41" s="14"/>
      <c r="DT41" s="16"/>
      <c r="DU41" s="18">
        <f t="shared" si="25"/>
        <v>0</v>
      </c>
      <c r="DV41" s="16"/>
      <c r="DW41" s="19"/>
      <c r="DX41" s="14"/>
      <c r="DY41" s="16"/>
      <c r="DZ41" s="18">
        <f t="shared" si="26"/>
        <v>0</v>
      </c>
      <c r="EA41" s="16"/>
      <c r="EB41" s="19"/>
      <c r="EC41" s="16">
        <f t="shared" si="27"/>
        <v>0</v>
      </c>
      <c r="ED41" s="14"/>
      <c r="EE41" s="16"/>
      <c r="EF41" s="18">
        <f t="shared" si="28"/>
        <v>0</v>
      </c>
      <c r="EG41" s="16"/>
      <c r="EH41" s="19"/>
      <c r="EI41" s="14"/>
      <c r="EJ41" s="16"/>
      <c r="EK41" s="18">
        <f t="shared" si="29"/>
        <v>0</v>
      </c>
      <c r="EL41" s="16"/>
      <c r="EM41" s="19"/>
      <c r="EN41" s="14"/>
      <c r="EO41" s="16"/>
      <c r="EP41" s="18">
        <f t="shared" si="30"/>
        <v>0</v>
      </c>
      <c r="EQ41" s="16"/>
      <c r="ER41" s="19"/>
      <c r="ES41" s="14"/>
      <c r="ET41" s="16"/>
      <c r="EU41" s="18">
        <f t="shared" si="31"/>
        <v>0</v>
      </c>
      <c r="EV41" s="16"/>
      <c r="EW41" s="19"/>
      <c r="EX41" s="14"/>
      <c r="EY41" s="16"/>
      <c r="EZ41" s="18">
        <f t="shared" si="32"/>
        <v>0</v>
      </c>
      <c r="FA41" s="16"/>
      <c r="FB41" s="19"/>
      <c r="FC41" s="14"/>
      <c r="FD41" s="16"/>
      <c r="FE41" s="18">
        <f t="shared" si="33"/>
        <v>0</v>
      </c>
      <c r="FF41" s="16"/>
      <c r="FG41" s="19"/>
      <c r="FH41" s="14"/>
      <c r="FI41" s="16"/>
      <c r="FJ41" s="18">
        <f t="shared" si="34"/>
        <v>0</v>
      </c>
      <c r="FK41" s="16"/>
      <c r="FL41" s="19"/>
      <c r="FM41" s="14"/>
      <c r="FN41" s="16"/>
      <c r="FO41" s="18">
        <f t="shared" si="35"/>
        <v>0</v>
      </c>
      <c r="FP41" s="16"/>
      <c r="FQ41" s="19"/>
      <c r="FR41" s="14"/>
      <c r="FS41" s="16"/>
      <c r="FT41" s="18">
        <f t="shared" si="36"/>
        <v>0</v>
      </c>
      <c r="FU41" s="16"/>
      <c r="FV41" s="19"/>
      <c r="FW41" s="14"/>
      <c r="FX41" s="16"/>
      <c r="FY41" s="18">
        <f t="shared" si="37"/>
        <v>0</v>
      </c>
      <c r="FZ41" s="16"/>
      <c r="GA41" s="19"/>
      <c r="GB41" s="14"/>
      <c r="GC41" s="16"/>
      <c r="GD41" s="18">
        <f t="shared" si="38"/>
        <v>0</v>
      </c>
      <c r="GE41" s="16"/>
      <c r="GF41" s="19"/>
      <c r="GG41" s="14"/>
      <c r="GH41" s="16"/>
      <c r="GI41" s="18">
        <f t="shared" si="39"/>
        <v>0</v>
      </c>
      <c r="GJ41" s="16"/>
      <c r="GK41" s="19"/>
    </row>
    <row r="42" spans="1:193">
      <c r="A42" s="12">
        <v>39</v>
      </c>
      <c r="B42" s="13">
        <f>[1]项目立项!C62</f>
        <v>0</v>
      </c>
      <c r="C42" s="13">
        <f>[1]项目立项!D62</f>
        <v>0</v>
      </c>
      <c r="D42" s="13">
        <f>[1]项目立项!E62</f>
        <v>0</v>
      </c>
      <c r="E42" s="13">
        <f>[1]项目立项!F62</f>
        <v>0</v>
      </c>
      <c r="F42" s="14"/>
      <c r="G42" s="15">
        <f t="shared" si="0"/>
        <v>0</v>
      </c>
      <c r="H42" s="16"/>
      <c r="I42" s="17"/>
      <c r="J42" s="16"/>
      <c r="K42" s="16">
        <f t="shared" si="1"/>
        <v>0</v>
      </c>
      <c r="L42" s="14"/>
      <c r="M42" s="16"/>
      <c r="N42" s="18">
        <f t="shared" si="2"/>
        <v>0</v>
      </c>
      <c r="O42" s="16"/>
      <c r="P42" s="19"/>
      <c r="Q42" s="14"/>
      <c r="R42" s="16"/>
      <c r="S42" s="18">
        <f t="shared" si="3"/>
        <v>0</v>
      </c>
      <c r="T42" s="16"/>
      <c r="U42" s="19"/>
      <c r="V42" s="14"/>
      <c r="W42" s="16"/>
      <c r="X42" s="18">
        <f t="shared" si="4"/>
        <v>0</v>
      </c>
      <c r="Y42" s="16"/>
      <c r="Z42" s="19"/>
      <c r="AA42" s="14"/>
      <c r="AB42" s="16"/>
      <c r="AC42" s="18">
        <f t="shared" si="5"/>
        <v>0</v>
      </c>
      <c r="AD42" s="16"/>
      <c r="AE42" s="19"/>
      <c r="AF42" s="14"/>
      <c r="AG42" s="16"/>
      <c r="AH42" s="18">
        <f t="shared" si="6"/>
        <v>0</v>
      </c>
      <c r="AI42" s="16"/>
      <c r="AJ42" s="19"/>
      <c r="AK42" s="14"/>
      <c r="AL42" s="16"/>
      <c r="AM42" s="18">
        <f t="shared" si="7"/>
        <v>0</v>
      </c>
      <c r="AN42" s="16"/>
      <c r="AO42" s="19"/>
      <c r="AP42" s="14"/>
      <c r="AQ42" s="16"/>
      <c r="AR42" s="18">
        <f t="shared" si="8"/>
        <v>0</v>
      </c>
      <c r="AS42" s="16"/>
      <c r="AT42" s="19"/>
      <c r="AU42" s="14"/>
      <c r="AV42" s="16"/>
      <c r="AW42" s="18">
        <f t="shared" si="9"/>
        <v>0</v>
      </c>
      <c r="AX42" s="16"/>
      <c r="AY42" s="19"/>
      <c r="AZ42" s="14"/>
      <c r="BA42" s="16"/>
      <c r="BB42" s="18">
        <f t="shared" si="10"/>
        <v>0</v>
      </c>
      <c r="BC42" s="16"/>
      <c r="BD42" s="19"/>
      <c r="BE42" s="14"/>
      <c r="BF42" s="16"/>
      <c r="BG42" s="18">
        <f t="shared" si="11"/>
        <v>0</v>
      </c>
      <c r="BH42" s="16"/>
      <c r="BI42" s="19"/>
      <c r="BJ42" s="14"/>
      <c r="BK42" s="16"/>
      <c r="BL42" s="18">
        <f t="shared" si="12"/>
        <v>0</v>
      </c>
      <c r="BM42" s="16"/>
      <c r="BN42" s="19"/>
      <c r="BO42" s="14"/>
      <c r="BP42" s="16"/>
      <c r="BQ42" s="18">
        <f t="shared" si="13"/>
        <v>0</v>
      </c>
      <c r="BR42" s="16"/>
      <c r="BS42" s="19"/>
      <c r="BT42" s="16">
        <f t="shared" si="14"/>
        <v>0</v>
      </c>
      <c r="BU42" s="14"/>
      <c r="BV42" s="16"/>
      <c r="BW42" s="18">
        <f t="shared" si="15"/>
        <v>0</v>
      </c>
      <c r="BX42" s="16"/>
      <c r="BY42" s="19"/>
      <c r="BZ42" s="14"/>
      <c r="CA42" s="16"/>
      <c r="CB42" s="18">
        <f t="shared" si="16"/>
        <v>0</v>
      </c>
      <c r="CC42" s="16"/>
      <c r="CD42" s="19"/>
      <c r="CE42" s="14"/>
      <c r="CF42" s="16"/>
      <c r="CG42" s="18">
        <f t="shared" si="17"/>
        <v>0</v>
      </c>
      <c r="CH42" s="16"/>
      <c r="CI42" s="19"/>
      <c r="CJ42" s="14"/>
      <c r="CK42" s="16"/>
      <c r="CL42" s="18">
        <f t="shared" si="18"/>
        <v>0</v>
      </c>
      <c r="CM42" s="16"/>
      <c r="CN42" s="19"/>
      <c r="CO42" s="14"/>
      <c r="CP42" s="16"/>
      <c r="CQ42" s="18">
        <f t="shared" si="19"/>
        <v>0</v>
      </c>
      <c r="CR42" s="16"/>
      <c r="CS42" s="19"/>
      <c r="CT42" s="14"/>
      <c r="CU42" s="16"/>
      <c r="CV42" s="18">
        <f t="shared" si="20"/>
        <v>0</v>
      </c>
      <c r="CW42" s="16"/>
      <c r="CX42" s="19"/>
      <c r="CY42" s="14"/>
      <c r="CZ42" s="16"/>
      <c r="DA42" s="18">
        <f t="shared" si="21"/>
        <v>0</v>
      </c>
      <c r="DB42" s="16"/>
      <c r="DC42" s="19"/>
      <c r="DD42" s="14"/>
      <c r="DE42" s="16"/>
      <c r="DF42" s="18">
        <f t="shared" si="22"/>
        <v>0</v>
      </c>
      <c r="DG42" s="16"/>
      <c r="DH42" s="19"/>
      <c r="DI42" s="14"/>
      <c r="DJ42" s="16"/>
      <c r="DK42" s="18">
        <f t="shared" si="23"/>
        <v>0</v>
      </c>
      <c r="DL42" s="16"/>
      <c r="DM42" s="19"/>
      <c r="DN42" s="14"/>
      <c r="DO42" s="16"/>
      <c r="DP42" s="18">
        <f t="shared" si="24"/>
        <v>0</v>
      </c>
      <c r="DQ42" s="16"/>
      <c r="DR42" s="19"/>
      <c r="DS42" s="14"/>
      <c r="DT42" s="16"/>
      <c r="DU42" s="18">
        <f t="shared" si="25"/>
        <v>0</v>
      </c>
      <c r="DV42" s="16"/>
      <c r="DW42" s="19"/>
      <c r="DX42" s="14"/>
      <c r="DY42" s="16"/>
      <c r="DZ42" s="18">
        <f t="shared" si="26"/>
        <v>0</v>
      </c>
      <c r="EA42" s="16"/>
      <c r="EB42" s="19"/>
      <c r="EC42" s="16">
        <f t="shared" si="27"/>
        <v>0</v>
      </c>
      <c r="ED42" s="14"/>
      <c r="EE42" s="16"/>
      <c r="EF42" s="18">
        <f t="shared" si="28"/>
        <v>0</v>
      </c>
      <c r="EG42" s="16"/>
      <c r="EH42" s="19"/>
      <c r="EI42" s="14"/>
      <c r="EJ42" s="16"/>
      <c r="EK42" s="18">
        <f t="shared" si="29"/>
        <v>0</v>
      </c>
      <c r="EL42" s="16"/>
      <c r="EM42" s="19"/>
      <c r="EN42" s="14"/>
      <c r="EO42" s="16"/>
      <c r="EP42" s="18">
        <f t="shared" si="30"/>
        <v>0</v>
      </c>
      <c r="EQ42" s="16"/>
      <c r="ER42" s="19"/>
      <c r="ES42" s="14"/>
      <c r="ET42" s="16"/>
      <c r="EU42" s="18">
        <f t="shared" si="31"/>
        <v>0</v>
      </c>
      <c r="EV42" s="16"/>
      <c r="EW42" s="19"/>
      <c r="EX42" s="14"/>
      <c r="EY42" s="16"/>
      <c r="EZ42" s="18">
        <f t="shared" si="32"/>
        <v>0</v>
      </c>
      <c r="FA42" s="16"/>
      <c r="FB42" s="19"/>
      <c r="FC42" s="14"/>
      <c r="FD42" s="16"/>
      <c r="FE42" s="18">
        <f t="shared" si="33"/>
        <v>0</v>
      </c>
      <c r="FF42" s="16"/>
      <c r="FG42" s="19"/>
      <c r="FH42" s="14"/>
      <c r="FI42" s="16"/>
      <c r="FJ42" s="18">
        <f t="shared" si="34"/>
        <v>0</v>
      </c>
      <c r="FK42" s="16"/>
      <c r="FL42" s="19"/>
      <c r="FM42" s="14"/>
      <c r="FN42" s="16"/>
      <c r="FO42" s="18">
        <f t="shared" si="35"/>
        <v>0</v>
      </c>
      <c r="FP42" s="16"/>
      <c r="FQ42" s="19"/>
      <c r="FR42" s="14"/>
      <c r="FS42" s="16"/>
      <c r="FT42" s="18">
        <f t="shared" si="36"/>
        <v>0</v>
      </c>
      <c r="FU42" s="16"/>
      <c r="FV42" s="19"/>
      <c r="FW42" s="14"/>
      <c r="FX42" s="16"/>
      <c r="FY42" s="18">
        <f t="shared" si="37"/>
        <v>0</v>
      </c>
      <c r="FZ42" s="16"/>
      <c r="GA42" s="19"/>
      <c r="GB42" s="14"/>
      <c r="GC42" s="16"/>
      <c r="GD42" s="18">
        <f t="shared" si="38"/>
        <v>0</v>
      </c>
      <c r="GE42" s="16"/>
      <c r="GF42" s="19"/>
      <c r="GG42" s="14"/>
      <c r="GH42" s="16"/>
      <c r="GI42" s="18">
        <f t="shared" si="39"/>
        <v>0</v>
      </c>
      <c r="GJ42" s="16"/>
      <c r="GK42" s="19"/>
    </row>
    <row r="43" spans="1:193">
      <c r="A43" s="12">
        <v>40</v>
      </c>
      <c r="B43" s="13">
        <f>[1]项目立项!C63</f>
        <v>0</v>
      </c>
      <c r="C43" s="13">
        <f>[1]项目立项!D63</f>
        <v>0</v>
      </c>
      <c r="D43" s="13">
        <f>[1]项目立项!E63</f>
        <v>0</v>
      </c>
      <c r="E43" s="13">
        <f>[1]项目立项!F63</f>
        <v>0</v>
      </c>
      <c r="F43" s="14"/>
      <c r="G43" s="15">
        <f t="shared" si="0"/>
        <v>0</v>
      </c>
      <c r="H43" s="16"/>
      <c r="I43" s="17"/>
      <c r="J43" s="16"/>
      <c r="K43" s="16">
        <f t="shared" si="1"/>
        <v>0</v>
      </c>
      <c r="L43" s="14"/>
      <c r="M43" s="16"/>
      <c r="N43" s="18">
        <f t="shared" si="2"/>
        <v>0</v>
      </c>
      <c r="O43" s="16"/>
      <c r="P43" s="19"/>
      <c r="Q43" s="14"/>
      <c r="R43" s="16"/>
      <c r="S43" s="18">
        <f t="shared" si="3"/>
        <v>0</v>
      </c>
      <c r="T43" s="16"/>
      <c r="U43" s="19"/>
      <c r="V43" s="14"/>
      <c r="W43" s="16"/>
      <c r="X43" s="18">
        <f t="shared" si="4"/>
        <v>0</v>
      </c>
      <c r="Y43" s="16"/>
      <c r="Z43" s="19"/>
      <c r="AA43" s="14"/>
      <c r="AB43" s="16"/>
      <c r="AC43" s="18">
        <f t="shared" si="5"/>
        <v>0</v>
      </c>
      <c r="AD43" s="16"/>
      <c r="AE43" s="19"/>
      <c r="AF43" s="14"/>
      <c r="AG43" s="16"/>
      <c r="AH43" s="18">
        <f t="shared" si="6"/>
        <v>0</v>
      </c>
      <c r="AI43" s="16"/>
      <c r="AJ43" s="19"/>
      <c r="AK43" s="14"/>
      <c r="AL43" s="16"/>
      <c r="AM43" s="18">
        <f t="shared" si="7"/>
        <v>0</v>
      </c>
      <c r="AN43" s="16"/>
      <c r="AO43" s="19"/>
      <c r="AP43" s="14"/>
      <c r="AQ43" s="16"/>
      <c r="AR43" s="18">
        <f t="shared" si="8"/>
        <v>0</v>
      </c>
      <c r="AS43" s="16"/>
      <c r="AT43" s="19"/>
      <c r="AU43" s="14"/>
      <c r="AV43" s="16"/>
      <c r="AW43" s="18">
        <f t="shared" si="9"/>
        <v>0</v>
      </c>
      <c r="AX43" s="16"/>
      <c r="AY43" s="19"/>
      <c r="AZ43" s="14"/>
      <c r="BA43" s="16"/>
      <c r="BB43" s="18">
        <f t="shared" si="10"/>
        <v>0</v>
      </c>
      <c r="BC43" s="16"/>
      <c r="BD43" s="19"/>
      <c r="BE43" s="14"/>
      <c r="BF43" s="16"/>
      <c r="BG43" s="18">
        <f t="shared" si="11"/>
        <v>0</v>
      </c>
      <c r="BH43" s="16"/>
      <c r="BI43" s="19"/>
      <c r="BJ43" s="14"/>
      <c r="BK43" s="16"/>
      <c r="BL43" s="18">
        <f t="shared" si="12"/>
        <v>0</v>
      </c>
      <c r="BM43" s="16"/>
      <c r="BN43" s="19"/>
      <c r="BO43" s="14"/>
      <c r="BP43" s="16"/>
      <c r="BQ43" s="18">
        <f t="shared" si="13"/>
        <v>0</v>
      </c>
      <c r="BR43" s="16"/>
      <c r="BS43" s="19"/>
      <c r="BT43" s="16">
        <f t="shared" si="14"/>
        <v>0</v>
      </c>
      <c r="BU43" s="14"/>
      <c r="BV43" s="16"/>
      <c r="BW43" s="18">
        <f t="shared" si="15"/>
        <v>0</v>
      </c>
      <c r="BX43" s="16"/>
      <c r="BY43" s="19"/>
      <c r="BZ43" s="14"/>
      <c r="CA43" s="16"/>
      <c r="CB43" s="18">
        <f t="shared" si="16"/>
        <v>0</v>
      </c>
      <c r="CC43" s="16"/>
      <c r="CD43" s="19"/>
      <c r="CE43" s="14"/>
      <c r="CF43" s="16"/>
      <c r="CG43" s="18">
        <f t="shared" si="17"/>
        <v>0</v>
      </c>
      <c r="CH43" s="16"/>
      <c r="CI43" s="19"/>
      <c r="CJ43" s="14"/>
      <c r="CK43" s="16"/>
      <c r="CL43" s="18">
        <f t="shared" si="18"/>
        <v>0</v>
      </c>
      <c r="CM43" s="16"/>
      <c r="CN43" s="19"/>
      <c r="CO43" s="14"/>
      <c r="CP43" s="16"/>
      <c r="CQ43" s="18">
        <f t="shared" si="19"/>
        <v>0</v>
      </c>
      <c r="CR43" s="16"/>
      <c r="CS43" s="19"/>
      <c r="CT43" s="14"/>
      <c r="CU43" s="16"/>
      <c r="CV43" s="18">
        <f t="shared" si="20"/>
        <v>0</v>
      </c>
      <c r="CW43" s="16"/>
      <c r="CX43" s="19"/>
      <c r="CY43" s="14"/>
      <c r="CZ43" s="16"/>
      <c r="DA43" s="18">
        <f t="shared" si="21"/>
        <v>0</v>
      </c>
      <c r="DB43" s="16"/>
      <c r="DC43" s="19"/>
      <c r="DD43" s="14"/>
      <c r="DE43" s="16"/>
      <c r="DF43" s="18">
        <f t="shared" si="22"/>
        <v>0</v>
      </c>
      <c r="DG43" s="16"/>
      <c r="DH43" s="19"/>
      <c r="DI43" s="14"/>
      <c r="DJ43" s="16"/>
      <c r="DK43" s="18">
        <f t="shared" si="23"/>
        <v>0</v>
      </c>
      <c r="DL43" s="16"/>
      <c r="DM43" s="19"/>
      <c r="DN43" s="14"/>
      <c r="DO43" s="16"/>
      <c r="DP43" s="18">
        <f t="shared" si="24"/>
        <v>0</v>
      </c>
      <c r="DQ43" s="16"/>
      <c r="DR43" s="19"/>
      <c r="DS43" s="14"/>
      <c r="DT43" s="16"/>
      <c r="DU43" s="18">
        <f t="shared" si="25"/>
        <v>0</v>
      </c>
      <c r="DV43" s="16"/>
      <c r="DW43" s="19"/>
      <c r="DX43" s="14"/>
      <c r="DY43" s="16"/>
      <c r="DZ43" s="18">
        <f t="shared" si="26"/>
        <v>0</v>
      </c>
      <c r="EA43" s="16"/>
      <c r="EB43" s="19"/>
      <c r="EC43" s="16">
        <f t="shared" si="27"/>
        <v>0</v>
      </c>
      <c r="ED43" s="14"/>
      <c r="EE43" s="16"/>
      <c r="EF43" s="18">
        <f t="shared" si="28"/>
        <v>0</v>
      </c>
      <c r="EG43" s="16"/>
      <c r="EH43" s="19"/>
      <c r="EI43" s="14"/>
      <c r="EJ43" s="16"/>
      <c r="EK43" s="18">
        <f t="shared" si="29"/>
        <v>0</v>
      </c>
      <c r="EL43" s="16"/>
      <c r="EM43" s="19"/>
      <c r="EN43" s="14"/>
      <c r="EO43" s="16"/>
      <c r="EP43" s="18">
        <f t="shared" si="30"/>
        <v>0</v>
      </c>
      <c r="EQ43" s="16"/>
      <c r="ER43" s="19"/>
      <c r="ES43" s="14"/>
      <c r="ET43" s="16"/>
      <c r="EU43" s="18">
        <f t="shared" si="31"/>
        <v>0</v>
      </c>
      <c r="EV43" s="16"/>
      <c r="EW43" s="19"/>
      <c r="EX43" s="14"/>
      <c r="EY43" s="16"/>
      <c r="EZ43" s="18">
        <f t="shared" si="32"/>
        <v>0</v>
      </c>
      <c r="FA43" s="16"/>
      <c r="FB43" s="19"/>
      <c r="FC43" s="14"/>
      <c r="FD43" s="16"/>
      <c r="FE43" s="18">
        <f t="shared" si="33"/>
        <v>0</v>
      </c>
      <c r="FF43" s="16"/>
      <c r="FG43" s="19"/>
      <c r="FH43" s="14"/>
      <c r="FI43" s="16"/>
      <c r="FJ43" s="18">
        <f t="shared" si="34"/>
        <v>0</v>
      </c>
      <c r="FK43" s="16"/>
      <c r="FL43" s="19"/>
      <c r="FM43" s="14"/>
      <c r="FN43" s="16"/>
      <c r="FO43" s="18">
        <f t="shared" si="35"/>
        <v>0</v>
      </c>
      <c r="FP43" s="16"/>
      <c r="FQ43" s="19"/>
      <c r="FR43" s="14"/>
      <c r="FS43" s="16"/>
      <c r="FT43" s="18">
        <f t="shared" si="36"/>
        <v>0</v>
      </c>
      <c r="FU43" s="16"/>
      <c r="FV43" s="19"/>
      <c r="FW43" s="14"/>
      <c r="FX43" s="16"/>
      <c r="FY43" s="18">
        <f t="shared" si="37"/>
        <v>0</v>
      </c>
      <c r="FZ43" s="16"/>
      <c r="GA43" s="19"/>
      <c r="GB43" s="14"/>
      <c r="GC43" s="16"/>
      <c r="GD43" s="18">
        <f t="shared" si="38"/>
        <v>0</v>
      </c>
      <c r="GE43" s="16"/>
      <c r="GF43" s="19"/>
      <c r="GG43" s="14"/>
      <c r="GH43" s="16"/>
      <c r="GI43" s="18">
        <f t="shared" si="39"/>
        <v>0</v>
      </c>
      <c r="GJ43" s="16"/>
      <c r="GK43" s="19"/>
    </row>
    <row r="44" spans="1:193">
      <c r="A44" s="1" t="s">
        <v>120</v>
      </c>
      <c r="K44" s="20">
        <f t="shared" ref="K44:BV44" si="40">SUM(K4:K43)</f>
        <v>0</v>
      </c>
      <c r="L44" s="20">
        <f t="shared" si="40"/>
        <v>0</v>
      </c>
      <c r="M44" s="20">
        <f t="shared" si="40"/>
        <v>0</v>
      </c>
      <c r="N44" s="20">
        <f t="shared" si="40"/>
        <v>0</v>
      </c>
      <c r="O44" s="20">
        <f t="shared" si="40"/>
        <v>0</v>
      </c>
      <c r="P44" s="20">
        <f t="shared" si="40"/>
        <v>0</v>
      </c>
      <c r="Q44" s="20">
        <f t="shared" si="40"/>
        <v>0</v>
      </c>
      <c r="R44" s="20">
        <f t="shared" si="40"/>
        <v>0</v>
      </c>
      <c r="S44" s="20">
        <f t="shared" si="40"/>
        <v>0</v>
      </c>
      <c r="T44" s="20">
        <f t="shared" si="40"/>
        <v>0</v>
      </c>
      <c r="U44" s="20">
        <f t="shared" si="40"/>
        <v>0</v>
      </c>
      <c r="V44" s="20">
        <f t="shared" si="40"/>
        <v>0</v>
      </c>
      <c r="W44" s="20">
        <f t="shared" si="40"/>
        <v>0</v>
      </c>
      <c r="X44" s="20">
        <f t="shared" si="40"/>
        <v>0</v>
      </c>
      <c r="Y44" s="20">
        <f t="shared" si="40"/>
        <v>0</v>
      </c>
      <c r="Z44" s="20">
        <f t="shared" si="40"/>
        <v>0</v>
      </c>
      <c r="AA44" s="20">
        <f t="shared" si="40"/>
        <v>0</v>
      </c>
      <c r="AB44" s="20">
        <f t="shared" si="40"/>
        <v>0</v>
      </c>
      <c r="AC44" s="20">
        <f t="shared" si="40"/>
        <v>0</v>
      </c>
      <c r="AD44" s="20">
        <f t="shared" si="40"/>
        <v>0</v>
      </c>
      <c r="AE44" s="20">
        <f t="shared" si="40"/>
        <v>0</v>
      </c>
      <c r="AF44" s="20">
        <f t="shared" si="40"/>
        <v>0</v>
      </c>
      <c r="AG44" s="20">
        <f t="shared" si="40"/>
        <v>0</v>
      </c>
      <c r="AH44" s="20">
        <f t="shared" si="40"/>
        <v>0</v>
      </c>
      <c r="AI44" s="20">
        <f t="shared" si="40"/>
        <v>0</v>
      </c>
      <c r="AJ44" s="20">
        <f t="shared" si="40"/>
        <v>0</v>
      </c>
      <c r="AK44" s="20">
        <f t="shared" si="40"/>
        <v>0</v>
      </c>
      <c r="AL44" s="20">
        <f t="shared" si="40"/>
        <v>0</v>
      </c>
      <c r="AM44" s="20">
        <f t="shared" si="40"/>
        <v>0</v>
      </c>
      <c r="AN44" s="20">
        <f t="shared" si="40"/>
        <v>0</v>
      </c>
      <c r="AO44" s="20">
        <f t="shared" si="40"/>
        <v>0</v>
      </c>
      <c r="AP44" s="20">
        <f t="shared" si="40"/>
        <v>0</v>
      </c>
      <c r="AQ44" s="20">
        <f t="shared" si="40"/>
        <v>0</v>
      </c>
      <c r="AR44" s="20">
        <f t="shared" si="40"/>
        <v>0</v>
      </c>
      <c r="AS44" s="20">
        <f t="shared" si="40"/>
        <v>0</v>
      </c>
      <c r="AT44" s="20">
        <f t="shared" si="40"/>
        <v>0</v>
      </c>
      <c r="AU44" s="20">
        <f t="shared" si="40"/>
        <v>0</v>
      </c>
      <c r="AV44" s="20">
        <f t="shared" si="40"/>
        <v>0</v>
      </c>
      <c r="AW44" s="20">
        <f t="shared" si="40"/>
        <v>0</v>
      </c>
      <c r="AX44" s="20">
        <f t="shared" si="40"/>
        <v>0</v>
      </c>
      <c r="AY44" s="20">
        <f t="shared" si="40"/>
        <v>0</v>
      </c>
      <c r="AZ44" s="20">
        <f t="shared" si="40"/>
        <v>0</v>
      </c>
      <c r="BA44" s="20">
        <f t="shared" si="40"/>
        <v>0</v>
      </c>
      <c r="BB44" s="20">
        <f t="shared" si="40"/>
        <v>0</v>
      </c>
      <c r="BC44" s="20">
        <f t="shared" si="40"/>
        <v>0</v>
      </c>
      <c r="BD44" s="20">
        <f t="shared" si="40"/>
        <v>0</v>
      </c>
      <c r="BE44" s="20">
        <f t="shared" si="40"/>
        <v>0</v>
      </c>
      <c r="BF44" s="20">
        <f t="shared" si="40"/>
        <v>0</v>
      </c>
      <c r="BG44" s="20">
        <f t="shared" si="40"/>
        <v>0</v>
      </c>
      <c r="BH44" s="20">
        <f t="shared" si="40"/>
        <v>0</v>
      </c>
      <c r="BI44" s="20">
        <f t="shared" si="40"/>
        <v>0</v>
      </c>
      <c r="BJ44" s="20">
        <f t="shared" si="40"/>
        <v>0</v>
      </c>
      <c r="BK44" s="20">
        <f t="shared" si="40"/>
        <v>0</v>
      </c>
      <c r="BL44" s="20">
        <f t="shared" si="40"/>
        <v>0</v>
      </c>
      <c r="BM44" s="20">
        <f t="shared" si="40"/>
        <v>0</v>
      </c>
      <c r="BN44" s="20">
        <f t="shared" si="40"/>
        <v>0</v>
      </c>
      <c r="BO44" s="20">
        <f t="shared" si="40"/>
        <v>0</v>
      </c>
      <c r="BP44" s="20">
        <f t="shared" si="40"/>
        <v>0</v>
      </c>
      <c r="BQ44" s="20">
        <f t="shared" si="40"/>
        <v>0</v>
      </c>
      <c r="BR44" s="20">
        <f t="shared" si="40"/>
        <v>0</v>
      </c>
      <c r="BS44" s="20">
        <f t="shared" si="40"/>
        <v>0</v>
      </c>
      <c r="BT44" s="20">
        <f t="shared" si="40"/>
        <v>0</v>
      </c>
      <c r="BU44" s="20">
        <f t="shared" si="40"/>
        <v>0</v>
      </c>
      <c r="BV44" s="20">
        <f t="shared" si="40"/>
        <v>0</v>
      </c>
      <c r="BW44" s="20">
        <f t="shared" ref="BW44:EC44" si="41">SUM(BW4:BW43)</f>
        <v>0</v>
      </c>
      <c r="BX44" s="20">
        <f t="shared" si="41"/>
        <v>0</v>
      </c>
      <c r="BY44" s="20">
        <f t="shared" si="41"/>
        <v>0</v>
      </c>
      <c r="BZ44" s="20">
        <f t="shared" si="41"/>
        <v>0</v>
      </c>
      <c r="CA44" s="20">
        <f t="shared" si="41"/>
        <v>0</v>
      </c>
      <c r="CB44" s="20">
        <f t="shared" si="41"/>
        <v>0</v>
      </c>
      <c r="CC44" s="20">
        <f t="shared" si="41"/>
        <v>0</v>
      </c>
      <c r="CD44" s="20">
        <f t="shared" si="41"/>
        <v>0</v>
      </c>
      <c r="CE44" s="20">
        <f t="shared" si="41"/>
        <v>0</v>
      </c>
      <c r="CF44" s="20">
        <f t="shared" si="41"/>
        <v>0</v>
      </c>
      <c r="CG44" s="20">
        <f t="shared" si="41"/>
        <v>0</v>
      </c>
      <c r="CH44" s="20">
        <f t="shared" si="41"/>
        <v>0</v>
      </c>
      <c r="CI44" s="20">
        <f t="shared" si="41"/>
        <v>0</v>
      </c>
      <c r="CJ44" s="20">
        <f t="shared" si="41"/>
        <v>0</v>
      </c>
      <c r="CK44" s="20">
        <f t="shared" si="41"/>
        <v>0</v>
      </c>
      <c r="CL44" s="20">
        <f t="shared" si="41"/>
        <v>0</v>
      </c>
      <c r="CM44" s="20">
        <f t="shared" si="41"/>
        <v>0</v>
      </c>
      <c r="CN44" s="20">
        <f t="shared" si="41"/>
        <v>0</v>
      </c>
      <c r="CO44" s="20">
        <f t="shared" si="41"/>
        <v>0</v>
      </c>
      <c r="CP44" s="20">
        <f t="shared" si="41"/>
        <v>0</v>
      </c>
      <c r="CQ44" s="20">
        <f t="shared" si="41"/>
        <v>0</v>
      </c>
      <c r="CR44" s="20">
        <f t="shared" si="41"/>
        <v>0</v>
      </c>
      <c r="CS44" s="20">
        <f t="shared" si="41"/>
        <v>0</v>
      </c>
      <c r="CT44" s="20">
        <f t="shared" si="41"/>
        <v>0</v>
      </c>
      <c r="CU44" s="20">
        <f t="shared" si="41"/>
        <v>0</v>
      </c>
      <c r="CV44" s="20">
        <f t="shared" si="41"/>
        <v>0</v>
      </c>
      <c r="CW44" s="20">
        <f t="shared" si="41"/>
        <v>0</v>
      </c>
      <c r="CX44" s="20">
        <f t="shared" si="41"/>
        <v>0</v>
      </c>
      <c r="CY44" s="20">
        <f t="shared" si="41"/>
        <v>0</v>
      </c>
      <c r="CZ44" s="20">
        <f t="shared" si="41"/>
        <v>0</v>
      </c>
      <c r="DA44" s="20">
        <f t="shared" si="41"/>
        <v>0</v>
      </c>
      <c r="DB44" s="20">
        <f t="shared" si="41"/>
        <v>0</v>
      </c>
      <c r="DC44" s="20">
        <f t="shared" si="41"/>
        <v>0</v>
      </c>
      <c r="DD44" s="20">
        <f t="shared" si="41"/>
        <v>0</v>
      </c>
      <c r="DE44" s="20">
        <f t="shared" si="41"/>
        <v>0</v>
      </c>
      <c r="DF44" s="20">
        <f t="shared" si="41"/>
        <v>0</v>
      </c>
      <c r="DG44" s="20">
        <f t="shared" si="41"/>
        <v>0</v>
      </c>
      <c r="DH44" s="20">
        <f t="shared" si="41"/>
        <v>0</v>
      </c>
      <c r="DI44" s="20">
        <f t="shared" si="41"/>
        <v>0</v>
      </c>
      <c r="DJ44" s="20">
        <f t="shared" si="41"/>
        <v>0</v>
      </c>
      <c r="DK44" s="20">
        <f t="shared" si="41"/>
        <v>0</v>
      </c>
      <c r="DL44" s="20">
        <f t="shared" si="41"/>
        <v>0</v>
      </c>
      <c r="DM44" s="20">
        <f t="shared" si="41"/>
        <v>0</v>
      </c>
      <c r="DN44" s="20">
        <f t="shared" si="41"/>
        <v>0</v>
      </c>
      <c r="DO44" s="20">
        <f t="shared" si="41"/>
        <v>0</v>
      </c>
      <c r="DP44" s="20">
        <f t="shared" si="41"/>
        <v>0</v>
      </c>
      <c r="DQ44" s="20">
        <f t="shared" si="41"/>
        <v>0</v>
      </c>
      <c r="DR44" s="20">
        <f t="shared" si="41"/>
        <v>0</v>
      </c>
      <c r="DS44" s="20">
        <f t="shared" si="41"/>
        <v>0</v>
      </c>
      <c r="DT44" s="20">
        <f t="shared" si="41"/>
        <v>0</v>
      </c>
      <c r="DU44" s="20">
        <f t="shared" si="41"/>
        <v>0</v>
      </c>
      <c r="DV44" s="20">
        <f t="shared" si="41"/>
        <v>0</v>
      </c>
      <c r="DW44" s="20">
        <f t="shared" si="41"/>
        <v>0</v>
      </c>
      <c r="DX44" s="20">
        <f t="shared" si="41"/>
        <v>0</v>
      </c>
      <c r="DY44" s="20">
        <f t="shared" si="41"/>
        <v>0</v>
      </c>
      <c r="DZ44" s="20">
        <f t="shared" si="41"/>
        <v>0</v>
      </c>
      <c r="EA44" s="20">
        <f t="shared" si="41"/>
        <v>0</v>
      </c>
      <c r="EB44" s="20">
        <f t="shared" si="41"/>
        <v>0</v>
      </c>
      <c r="EC44" s="20">
        <f t="shared" si="41"/>
        <v>0</v>
      </c>
    </row>
  </sheetData>
  <mergeCells count="40">
    <mergeCell ref="L1:BS1"/>
    <mergeCell ref="BU1:EB1"/>
    <mergeCell ref="ED1:GK1"/>
    <mergeCell ref="H2:J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U2:BY2"/>
    <mergeCell ref="BZ2:CD2"/>
    <mergeCell ref="CE2:CI2"/>
    <mergeCell ref="CJ2:CN2"/>
    <mergeCell ref="CO2:CS2"/>
    <mergeCell ref="CT2:CX2"/>
    <mergeCell ref="CY2:DC2"/>
    <mergeCell ref="DD2:DH2"/>
    <mergeCell ref="DI2:DM2"/>
    <mergeCell ref="DN2:DR2"/>
    <mergeCell ref="DS2:DW2"/>
    <mergeCell ref="DX2:EB2"/>
    <mergeCell ref="ED2:EH2"/>
    <mergeCell ref="EI2:EM2"/>
    <mergeCell ref="EN2:ER2"/>
    <mergeCell ref="ES2:EW2"/>
    <mergeCell ref="EX2:FB2"/>
    <mergeCell ref="FC2:FG2"/>
    <mergeCell ref="FH2:FL2"/>
    <mergeCell ref="FM2:FQ2"/>
    <mergeCell ref="FR2:FV2"/>
    <mergeCell ref="FW2:GA2"/>
    <mergeCell ref="GB2:GF2"/>
    <mergeCell ref="GG2:GK2"/>
  </mergeCells>
  <conditionalFormatting sqref="G4:G43">
    <cfRule type="cellIs" dxfId="0" priority="1" stopIfTrue="1" operator="equal">
      <formula>"Select..."</formula>
    </cfRule>
  </conditionalFormatting>
  <conditionalFormatting sqref="B4:E43">
    <cfRule type="cellIs" dxfId="0" priority="2" stopIfTrue="1" operator="equal">
      <formula>"Select..."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2" master="" otherUserPermission="visible">
    <arrUserId title="区域1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资金计划表</vt:lpstr>
      <vt:lpstr>人工及费用测算</vt:lpstr>
      <vt:lpstr>税差辅助测算</vt:lpstr>
      <vt:lpstr>差旅费测算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肖</cp:lastModifiedBy>
  <dcterms:created xsi:type="dcterms:W3CDTF">2019-09-19T07:38:00Z</dcterms:created>
  <dcterms:modified xsi:type="dcterms:W3CDTF">2025-12-20T05:11:42Z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0BC9F8F1D5EF4CB499375403F5B08ADD_13</vt:lpwstr>
  </property>
  <property fmtid="{D5CDD505-2E9C-101B-9397-08002B2CF9AE}" pid="4" name="CalculationRule">
    <vt:i4>0</vt:i4>
  </property>
</Properties>
</file>